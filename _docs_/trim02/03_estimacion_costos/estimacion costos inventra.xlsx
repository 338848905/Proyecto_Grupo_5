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8_{8CB67567-BDEB-40C9-BB64-A01579AFF23A}" xr6:coauthVersionLast="47" xr6:coauthVersionMax="47" xr10:uidLastSave="{00000000-0000-0000-0000-000000000000}"/>
  <bookViews>
    <workbookView xWindow="-120" yWindow="-120" windowWidth="29040" windowHeight="15840" tabRatio="751" activeTab="1" xr2:uid="{587D31C4-582B-49F1-AD36-729E1557FE03}"/>
  </bookViews>
  <sheets>
    <sheet name="RECURSOS HUM" sheetId="2" r:id="rId1"/>
    <sheet name="ESTIMADO TOTAL PROYECTO" sheetId="9" r:id="rId2"/>
    <sheet name="RECURSOS TECNOLÓGICOS" sheetId="4" r:id="rId3"/>
    <sheet name="PLANEACION" sheetId="8" r:id="rId4"/>
    <sheet name="GASTOS.1" sheetId="6" r:id="rId5"/>
    <sheet name="GASTOS" sheetId="5" state="hidden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9" l="1"/>
  <c r="N9" i="4"/>
  <c r="N3" i="4"/>
  <c r="N4" i="4"/>
  <c r="N5" i="4"/>
  <c r="N6" i="4"/>
  <c r="N7" i="4"/>
  <c r="N8" i="4"/>
  <c r="N2" i="4"/>
  <c r="M9" i="4"/>
  <c r="M3" i="4"/>
  <c r="M4" i="4"/>
  <c r="M5" i="4"/>
  <c r="M6" i="4"/>
  <c r="M7" i="4"/>
  <c r="M8" i="4"/>
  <c r="M2" i="4"/>
  <c r="J16" i="4"/>
  <c r="B8" i="9"/>
  <c r="B11" i="9" s="1"/>
  <c r="C7" i="9" l="1"/>
  <c r="C6" i="9"/>
  <c r="C5" i="9"/>
  <c r="C10" i="9"/>
  <c r="C9" i="9"/>
  <c r="D8" i="9"/>
  <c r="D9" i="9" s="1"/>
  <c r="D10" i="9" s="1"/>
</calcChain>
</file>

<file path=xl/sharedStrings.xml><?xml version="1.0" encoding="utf-8"?>
<sst xmlns="http://schemas.openxmlformats.org/spreadsheetml/2006/main" count="333" uniqueCount="237">
  <si>
    <t>VALOR</t>
  </si>
  <si>
    <t>ITEM</t>
  </si>
  <si>
    <t>ACTIVIDAD</t>
  </si>
  <si>
    <t>EVIDENCIA</t>
  </si>
  <si>
    <t>RESPONSABLE</t>
  </si>
  <si>
    <t>INICIO</t>
  </si>
  <si>
    <t>FIN</t>
  </si>
  <si>
    <t>%AVANCE</t>
  </si>
  <si>
    <t>1.1.</t>
  </si>
  <si>
    <t>Elaborar el Diagrama de Procesos</t>
  </si>
  <si>
    <t>Diagrama de Procesos</t>
  </si>
  <si>
    <t>PROFESIONAL</t>
  </si>
  <si>
    <t>Analista</t>
  </si>
  <si>
    <t>Gestor de Bases de Datos</t>
  </si>
  <si>
    <t>Desarrollador Backend</t>
  </si>
  <si>
    <t>CANT</t>
  </si>
  <si>
    <t>Tester</t>
  </si>
  <si>
    <t>SALARIO MENSUAL</t>
  </si>
  <si>
    <t>V/HORA</t>
  </si>
  <si>
    <t>DIAS</t>
  </si>
  <si>
    <t>SALARIO REAL</t>
  </si>
  <si>
    <t>Analizar los datos recolectados para determinar las necesidades del cliente</t>
  </si>
  <si>
    <t>Documento de Análisis</t>
  </si>
  <si>
    <t>1.2.</t>
  </si>
  <si>
    <t>Elaborar el Informe de Requisitos del Sistema</t>
  </si>
  <si>
    <t>1.3.</t>
  </si>
  <si>
    <t>Documento IEEE-830</t>
  </si>
  <si>
    <t>Diagramar los Casos de Uso</t>
  </si>
  <si>
    <t>Diagrama de Casos de Uso</t>
  </si>
  <si>
    <t>Generar las Plantillas de los Casos de Uso Extendido</t>
  </si>
  <si>
    <t>Casos de Uso Extendido</t>
  </si>
  <si>
    <t>Crear el informe de Análisis</t>
  </si>
  <si>
    <t>Informe de Análisis</t>
  </si>
  <si>
    <t>Elaborar el Modelo Entidad Relación</t>
  </si>
  <si>
    <t>MER</t>
  </si>
  <si>
    <t>GBD</t>
  </si>
  <si>
    <t>MES</t>
  </si>
  <si>
    <t>V/DIA</t>
  </si>
  <si>
    <t>HORAS/DIA</t>
  </si>
  <si>
    <t>NOTA</t>
  </si>
  <si>
    <t>La contratación de los profesionales se hará por Prestación de Servicios según el tiempo que se requiera en el proyecto</t>
  </si>
  <si>
    <t>PARCIAL</t>
  </si>
  <si>
    <t>HARDWARE</t>
  </si>
  <si>
    <t>SOFTWARE</t>
  </si>
  <si>
    <t>DISPOSITIVO FINAL</t>
  </si>
  <si>
    <t>CLIENTE</t>
  </si>
  <si>
    <t>SERVICIOS</t>
  </si>
  <si>
    <t>Puertos?</t>
  </si>
  <si>
    <t>COSTO</t>
  </si>
  <si>
    <t>Depende</t>
  </si>
  <si>
    <t>SERVIDOR FÍSICO</t>
  </si>
  <si>
    <t>Software de Sistema</t>
  </si>
  <si>
    <t>Software de Protección</t>
  </si>
  <si>
    <t>Software de Aplicación</t>
  </si>
  <si>
    <t>Software de Desarrollo</t>
  </si>
  <si>
    <t>No</t>
  </si>
  <si>
    <t>Lengujes</t>
  </si>
  <si>
    <t>FrameWorks</t>
  </si>
  <si>
    <t>Librerías</t>
  </si>
  <si>
    <t>Licencias (Soft y Nuestro Soft)</t>
  </si>
  <si>
    <t>HOSTING (ALOJAMIENTO)</t>
  </si>
  <si>
    <t xml:space="preserve">Dirección IP? </t>
  </si>
  <si>
    <t>SERVIDOR VIRTUAL (TI) ó</t>
  </si>
  <si>
    <t>Arquitecto / Líder Full Stack</t>
  </si>
  <si>
    <t>$3.000.000</t>
  </si>
  <si>
    <t>$100.000,00</t>
  </si>
  <si>
    <t>$16.666,67</t>
  </si>
  <si>
    <t>$54.000.000</t>
  </si>
  <si>
    <t>$36.000.000</t>
  </si>
  <si>
    <t>Administrador del Proyecto</t>
  </si>
  <si>
    <t>$2.500.000</t>
  </si>
  <si>
    <t>$13.888,89</t>
  </si>
  <si>
    <t>$45.000.000</t>
  </si>
  <si>
    <t>$2.000.000</t>
  </si>
  <si>
    <t>$11.111,11</t>
  </si>
  <si>
    <t>$1.800.000</t>
  </si>
  <si>
    <t>$12.000,00</t>
  </si>
  <si>
    <t>Desarrollador Full Stack</t>
  </si>
  <si>
    <t>$10.416,67</t>
  </si>
  <si>
    <t>$2.200.000</t>
  </si>
  <si>
    <t>$9.166,67</t>
  </si>
  <si>
    <t>$1.500.000</t>
  </si>
  <si>
    <t>$8.333,33</t>
  </si>
  <si>
    <t>$83.333,33</t>
  </si>
  <si>
    <t>$66.666,67</t>
  </si>
  <si>
    <t>$60.000,00</t>
  </si>
  <si>
    <t>$32.400.000</t>
  </si>
  <si>
    <t>$73.333,33</t>
  </si>
  <si>
    <t>$39.600.000</t>
  </si>
  <si>
    <t>$50.000,00</t>
  </si>
  <si>
    <t>$27.000.000</t>
  </si>
  <si>
    <t>Desarrollador full stack</t>
  </si>
  <si>
    <t>Desarrollador Backned</t>
  </si>
  <si>
    <t>Profesionales</t>
  </si>
  <si>
    <t>Procesador</t>
  </si>
  <si>
    <t>SSD 512 GB</t>
  </si>
  <si>
    <t>16 GB</t>
  </si>
  <si>
    <t>Software de Sistema (Windows 11 Pro o Linux Ubuntu)</t>
  </si>
  <si>
    <t>$850.000 por licencia</t>
  </si>
  <si>
    <t>Windows Defender / Antivirus)</t>
  </si>
  <si>
    <t>$150.000/año</t>
  </si>
  <si>
    <t>Software de Aplicación (Office 365)</t>
  </si>
  <si>
    <t>$350.000/año</t>
  </si>
  <si>
    <t>Software de Desarrollo (VS Code, IntelliJ Community, Git</t>
  </si>
  <si>
    <t>$0</t>
  </si>
  <si>
    <t>Lenguajes (Java, JavaScript, Python, PHP)</t>
  </si>
  <si>
    <t>Frameworks (Spring Boot, React, Angular, Laravel)</t>
  </si>
  <si>
    <t>Licencias (Software propio INVENTRA)</t>
  </si>
  <si>
    <t>$300.000/mes</t>
  </si>
  <si>
    <t>AWS, Azure o Google Cloud</t>
  </si>
  <si>
    <t>$400.000/mes</t>
  </si>
  <si>
    <t>$20.000/mes</t>
  </si>
  <si>
    <t>$80.000/año</t>
  </si>
  <si>
    <t>Dominio (DNS) inventra.com.co</t>
  </si>
  <si>
    <t>$279.000.000.</t>
  </si>
  <si>
    <t>TOTAL $2.150.000</t>
  </si>
  <si>
    <t>CONCEPTO</t>
  </si>
  <si>
    <t>CANTIDAD</t>
  </si>
  <si>
    <t>VALOR UNITARIO</t>
  </si>
  <si>
    <t>TOTAL</t>
  </si>
  <si>
    <t>Papelería y útiles</t>
  </si>
  <si>
    <t>18 meses</t>
  </si>
  <si>
    <t>Internet y comunicaciones</t>
  </si>
  <si>
    <t>Energía eléctrica</t>
  </si>
  <si>
    <t>Dominio web (.com)</t>
  </si>
  <si>
    <t>2 años</t>
  </si>
  <si>
    <t>Hosting/VPS</t>
  </si>
  <si>
    <t>Certificado SSL</t>
  </si>
  <si>
    <t>Licencias de software</t>
  </si>
  <si>
    <t>Transporte y reuniones</t>
  </si>
  <si>
    <t>Imprevistos (5%)</t>
  </si>
  <si>
    <t>Capacitación usuarios</t>
  </si>
  <si>
    <t>TOTAL GENERAL</t>
  </si>
  <si>
    <t>1.1</t>
  </si>
  <si>
    <t>100%</t>
  </si>
  <si>
    <t>1.2</t>
  </si>
  <si>
    <t>1.3</t>
  </si>
  <si>
    <t>2.1</t>
  </si>
  <si>
    <t>2.2</t>
  </si>
  <si>
    <t>2.3</t>
  </si>
  <si>
    <t>2.4</t>
  </si>
  <si>
    <t>3.1</t>
  </si>
  <si>
    <t>Diseñar la Arquitectura del Sistema</t>
  </si>
  <si>
    <t>Documento de Arquitectura</t>
  </si>
  <si>
    <t>Arquitecto Líder</t>
  </si>
  <si>
    <t>0%</t>
  </si>
  <si>
    <t>3.2</t>
  </si>
  <si>
    <t>Diseñar la Base de Datos Física</t>
  </si>
  <si>
    <t>Modelo Físico BD</t>
  </si>
  <si>
    <t>3.3</t>
  </si>
  <si>
    <t>Diseñar Interfaces de Usuario</t>
  </si>
  <si>
    <t>Mockups y Prototipos</t>
  </si>
  <si>
    <t>Full Stack</t>
  </si>
  <si>
    <t>3.4</t>
  </si>
  <si>
    <t>Elaborar Documento de Diseño</t>
  </si>
  <si>
    <t>Documento de Diseño</t>
  </si>
  <si>
    <t>4.1</t>
  </si>
  <si>
    <t>Configurar Ambiente de Desarrollo</t>
  </si>
  <si>
    <t>Ambiente Configurado</t>
  </si>
  <si>
    <t>4.2</t>
  </si>
  <si>
    <t>Desarrollar Módulo de Inventarios</t>
  </si>
  <si>
    <t>Módulo Implementado</t>
  </si>
  <si>
    <t>4.3</t>
  </si>
  <si>
    <t>Desarrollar Módulo de Gestión de Caja</t>
  </si>
  <si>
    <t>4.4</t>
  </si>
  <si>
    <t>Desarrollar Módulo de Reportes</t>
  </si>
  <si>
    <t>5.1</t>
  </si>
  <si>
    <t>Elaborar Plan de Pruebas</t>
  </si>
  <si>
    <t>Plan de Pruebas</t>
  </si>
  <si>
    <t>TRIMESTRE 1  |  Febrero – Marzo 2026</t>
  </si>
  <si>
    <t>1  ESPECIFICACIÓN DE REQUISITOS</t>
  </si>
  <si>
    <t>TRIMESTRE 2  |  Abril – Mayo 2026</t>
  </si>
  <si>
    <t>2  ANÁLISIS DE LA ESPECIFICACIÓN DE REQUISITOS</t>
  </si>
  <si>
    <t>TRIMESTRE 3  |  Mayo – Junio 2026</t>
  </si>
  <si>
    <t>3  DISEÑO DEL SISTEMA</t>
  </si>
  <si>
    <t>🌴  VACACIONES SENA – MITAD DE AÑO  |  11 Jun – 10 Jul 2026</t>
  </si>
  <si>
    <t>TRIMESTRE 4  |  Julio – Agosto 2026</t>
  </si>
  <si>
    <t>4  DESARROLLO DEL SISTEMA</t>
  </si>
  <si>
    <t>TRIMESTRE 5  |  Septiembre – Octubre 2026</t>
  </si>
  <si>
    <t>TRIMESTRE 6  |  Noviembre – Diciembre 2026</t>
  </si>
  <si>
    <t>5  PRUEBAS DEL SISTEMA</t>
  </si>
  <si>
    <t>5.2</t>
  </si>
  <si>
    <t>Ejecutar Pruebas Funcionales</t>
  </si>
  <si>
    <t>Informe de Pruebas</t>
  </si>
  <si>
    <t>🎄  VACACIONES SENA – FIN DE AÑO  |  11 Dic 2026 – 10 Ene 2027</t>
  </si>
  <si>
    <t>TRIMESTRE 7  |  Enero – Febrero 2027</t>
  </si>
  <si>
    <t>6  DESPLIEGUE Y CIERRE</t>
  </si>
  <si>
    <t>6.1</t>
  </si>
  <si>
    <t>Desplegar Sistema en Producción</t>
  </si>
  <si>
    <t>Sistema Desplegado</t>
  </si>
  <si>
    <t>6.2</t>
  </si>
  <si>
    <t>Capacitación a Usuarios Finales</t>
  </si>
  <si>
    <t>Acta de Capacitación</t>
  </si>
  <si>
    <t>6.3</t>
  </si>
  <si>
    <t>Elaborar Documentación Final del Proyecto</t>
  </si>
  <si>
    <t>Manual Técnico y Usuario</t>
  </si>
  <si>
    <t>6.4</t>
  </si>
  <si>
    <t>Cierre y Entrega del Proyecto</t>
  </si>
  <si>
    <t>Acta de Cierre</t>
  </si>
  <si>
    <t>CONVENCIONES</t>
  </si>
  <si>
    <t xml:space="preserve">  Fase principal del proyecto</t>
  </si>
  <si>
    <t xml:space="preserve">  Actividad completada (100%)</t>
  </si>
  <si>
    <t xml:space="preserve">  Actividad pendiente (0%)</t>
  </si>
  <si>
    <t xml:space="preserve">  Período de vacaciones SENA</t>
  </si>
  <si>
    <t>ESTIMADO TOTAL – PROYECTO INVENTRA</t>
  </si>
  <si>
    <t>Resumen de costos y distribución porcentual</t>
  </si>
  <si>
    <t>% S/TOTAL</t>
  </si>
  <si>
    <t>ACUMULADO</t>
  </si>
  <si>
    <t>Recursos profesionales</t>
  </si>
  <si>
    <t>Recursos tecnológicos</t>
  </si>
  <si>
    <t>Gastos administrativos</t>
  </si>
  <si>
    <t>Subtotal base</t>
  </si>
  <si>
    <t>Imprevistos (20%)</t>
  </si>
  <si>
    <t>Ganancia (15%)</t>
  </si>
  <si>
    <t>TOTAL PROYECTO INVENTRA</t>
  </si>
  <si>
    <t>Distribución por componente</t>
  </si>
  <si>
    <t>Tecnológicos</t>
  </si>
  <si>
    <t>Gastos adm.</t>
  </si>
  <si>
    <t>Imprevistos</t>
  </si>
  <si>
    <t>Ganancia</t>
  </si>
  <si>
    <t>Comparativa de valores</t>
  </si>
  <si>
    <t>Total</t>
  </si>
  <si>
    <t>Si $2.080.000 HOSTINGER</t>
  </si>
  <si>
    <t>Profesional</t>
  </si>
  <si>
    <t>Memoria RAM</t>
  </si>
  <si>
    <t>Disco Duro</t>
  </si>
  <si>
    <t>Intel Core i5 12ª Gen</t>
  </si>
  <si>
    <t>Intel Core i3 12ª Gen</t>
  </si>
  <si>
    <t>8 GB</t>
  </si>
  <si>
    <t>SSD 256 GB</t>
  </si>
  <si>
    <t>Analista de Software</t>
  </si>
  <si>
    <t>Gestor Base de Datos</t>
  </si>
  <si>
    <t xml:space="preserve">VID UTIL </t>
  </si>
  <si>
    <t>10 AÑOS</t>
  </si>
  <si>
    <t>DEB/MES</t>
  </si>
  <si>
    <t>DEB/ANU</t>
  </si>
  <si>
    <t>Fuente: Estimado ChatGPT | Subtotal base: $343.660.000 | Imprevistos 20% | Ganancia 15% | Total: $413.941.000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</si>
</sst>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\ #,##0;[Red]\-&quot;$&quot;\ #,##0"/>
    <numFmt numFmtId="44" formatCode="_-&quot;$&quot;\ * #,##0.00_-;\-&quot;$&quot;\ * #,##0.00_-;_-&quot;$&quot;\ * &quot;-&quot;??_-;_-@_-"/>
    <numFmt numFmtId="172" formatCode="dd/mm/yyyy"/>
    <numFmt numFmtId="173" formatCode="&quot;$&quot;#,##0"/>
    <numFmt numFmtId="174" formatCode="0.0%"/>
  </numFmts>
  <fonts count="2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0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name val="Arial"/>
    </font>
    <font>
      <b/>
      <sz val="9"/>
      <color rgb="FF375623"/>
      <name val="Arial"/>
    </font>
    <font>
      <b/>
      <sz val="9"/>
      <color rgb="FFC00000"/>
      <name val="Arial"/>
    </font>
    <font>
      <b/>
      <sz val="10"/>
      <color rgb="FF7B4F00"/>
      <name val="Arial"/>
    </font>
    <font>
      <b/>
      <sz val="9"/>
      <color rgb="FF7B4F00"/>
      <name val="Arial"/>
    </font>
    <font>
      <sz val="9"/>
      <color rgb="FFFFFFFF"/>
      <name val="Arial"/>
    </font>
    <font>
      <sz val="9"/>
      <color rgb="FF375623"/>
      <name val="Arial"/>
    </font>
    <font>
      <sz val="9"/>
      <color rgb="FF7B4F00"/>
      <name val="Arial"/>
    </font>
    <font>
      <b/>
      <sz val="13"/>
      <color rgb="FFFFFFFF"/>
      <name val="Arial"/>
    </font>
    <font>
      <sz val="10"/>
      <color rgb="FFFFFFFF"/>
      <name val="Arial"/>
    </font>
    <font>
      <b/>
      <sz val="10"/>
      <color rgb="FF1F4E79"/>
      <name val="Arial"/>
    </font>
    <font>
      <sz val="10"/>
      <color rgb="FF000000"/>
      <name val="Arial"/>
    </font>
    <font>
      <sz val="11"/>
      <color rgb="FF000000"/>
      <name val="Arial"/>
    </font>
    <font>
      <b/>
      <sz val="11"/>
      <color rgb="FF1F4E79"/>
      <name val="Arial"/>
    </font>
    <font>
      <sz val="10"/>
      <color rgb="FF7B4F00"/>
      <name val="Arial"/>
    </font>
    <font>
      <sz val="11"/>
      <color rgb="FF7B4F00"/>
      <name val="Arial"/>
    </font>
    <font>
      <sz val="10"/>
      <color rgb="FF375623"/>
      <name val="Arial"/>
    </font>
    <font>
      <sz val="11"/>
      <color rgb="FF375623"/>
      <name val="Arial"/>
    </font>
    <font>
      <b/>
      <sz val="11"/>
      <color rgb="FFFFFFFF"/>
      <name val="Arial"/>
    </font>
    <font>
      <sz val="9"/>
      <color rgb="FF7B4F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4CAF50"/>
        <bgColor rgb="FF000000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D966"/>
      </patternFill>
    </fill>
    <fill>
      <patternFill patternType="solid">
        <fgColor rgb="FFD6E4F0"/>
      </patternFill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4" borderId="0" xfId="0" applyFont="1" applyFill="1"/>
    <xf numFmtId="0" fontId="1" fillId="2" borderId="0" xfId="0" applyFont="1" applyFill="1" applyAlignment="1">
      <alignment horizontal="center"/>
    </xf>
    <xf numFmtId="44" fontId="0" fillId="0" borderId="0" xfId="1" applyFont="1" applyAlignment="1">
      <alignment horizontal="center" vertical="center"/>
    </xf>
    <xf numFmtId="44" fontId="0" fillId="0" borderId="0" xfId="0" applyNumberFormat="1"/>
    <xf numFmtId="0" fontId="1" fillId="3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right"/>
    </xf>
    <xf numFmtId="0" fontId="0" fillId="0" borderId="4" xfId="0" applyBorder="1"/>
    <xf numFmtId="0" fontId="0" fillId="0" borderId="3" xfId="0" applyBorder="1"/>
    <xf numFmtId="0" fontId="0" fillId="0" borderId="6" xfId="0" applyBorder="1"/>
    <xf numFmtId="0" fontId="0" fillId="0" borderId="2" xfId="0" applyBorder="1"/>
    <xf numFmtId="0" fontId="4" fillId="0" borderId="0" xfId="0" applyFont="1"/>
    <xf numFmtId="0" fontId="1" fillId="6" borderId="0" xfId="0" applyFont="1" applyFill="1" applyAlignment="1">
      <alignment horizontal="left"/>
    </xf>
    <xf numFmtId="0" fontId="5" fillId="7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0" xfId="0" applyFont="1"/>
    <xf numFmtId="6" fontId="3" fillId="0" borderId="5" xfId="0" applyNumberFormat="1" applyFont="1" applyBorder="1"/>
    <xf numFmtId="3" fontId="3" fillId="0" borderId="0" xfId="0" applyNumberFormat="1" applyFont="1"/>
    <xf numFmtId="0" fontId="6" fillId="8" borderId="8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2" fillId="12" borderId="7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left" vertical="center" indent="1"/>
    </xf>
    <xf numFmtId="0" fontId="8" fillId="11" borderId="7" xfId="0" applyFont="1" applyFill="1" applyBorder="1" applyAlignment="1">
      <alignment horizontal="left" vertical="center" indent="2"/>
    </xf>
    <xf numFmtId="0" fontId="15" fillId="10" borderId="7" xfId="0" applyFont="1" applyFill="1" applyBorder="1" applyAlignment="1">
      <alignment horizontal="left" vertical="center" indent="2"/>
    </xf>
    <xf numFmtId="0" fontId="16" fillId="12" borderId="7" xfId="0" applyFont="1" applyFill="1" applyBorder="1" applyAlignment="1">
      <alignment horizontal="left" vertical="center" indent="2"/>
    </xf>
    <xf numFmtId="0" fontId="14" fillId="9" borderId="7" xfId="0" applyFont="1" applyFill="1" applyBorder="1" applyAlignment="1">
      <alignment horizontal="left" vertical="center" indent="2"/>
    </xf>
    <xf numFmtId="0" fontId="6" fillId="8" borderId="7" xfId="0" applyFont="1" applyFill="1" applyBorder="1" applyAlignment="1">
      <alignment horizontal="center" vertical="center"/>
    </xf>
    <xf numFmtId="0" fontId="17" fillId="8" borderId="7" xfId="0" applyFont="1" applyFill="1" applyBorder="1" applyAlignment="1">
      <alignment horizontal="center" vertical="center"/>
    </xf>
    <xf numFmtId="0" fontId="0" fillId="0" borderId="0" xfId="0"/>
    <xf numFmtId="0" fontId="6" fillId="8" borderId="7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left" vertical="center" wrapText="1"/>
    </xf>
    <xf numFmtId="0" fontId="8" fillId="10" borderId="7" xfId="0" applyFont="1" applyFill="1" applyBorder="1" applyAlignment="1">
      <alignment horizontal="left" vertical="center"/>
    </xf>
    <xf numFmtId="0" fontId="8" fillId="10" borderId="7" xfId="0" applyFont="1" applyFill="1" applyBorder="1" applyAlignment="1">
      <alignment horizontal="center" vertical="center"/>
    </xf>
    <xf numFmtId="172" fontId="9" fillId="10" borderId="7" xfId="0" applyNumberFormat="1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left" vertical="center" wrapText="1"/>
    </xf>
    <xf numFmtId="0" fontId="8" fillId="11" borderId="7" xfId="0" applyFont="1" applyFill="1" applyBorder="1" applyAlignment="1">
      <alignment horizontal="left" vertical="center"/>
    </xf>
    <xf numFmtId="0" fontId="8" fillId="11" borderId="7" xfId="0" applyFont="1" applyFill="1" applyBorder="1" applyAlignment="1">
      <alignment horizontal="center" vertical="center"/>
    </xf>
    <xf numFmtId="172" fontId="9" fillId="11" borderId="7" xfId="0" applyNumberFormat="1" applyFont="1" applyFill="1" applyBorder="1" applyAlignment="1">
      <alignment horizontal="center" vertical="center"/>
    </xf>
    <xf numFmtId="0" fontId="11" fillId="11" borderId="7" xfId="0" applyFont="1" applyFill="1" applyBorder="1" applyAlignment="1">
      <alignment horizontal="center" vertical="center"/>
    </xf>
    <xf numFmtId="172" fontId="13" fillId="12" borderId="7" xfId="0" applyNumberFormat="1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9" fillId="13" borderId="7" xfId="0" applyFont="1" applyFill="1" applyBorder="1" applyAlignment="1">
      <alignment horizontal="center" vertical="center"/>
    </xf>
    <xf numFmtId="0" fontId="20" fillId="11" borderId="7" xfId="0" applyFont="1" applyFill="1" applyBorder="1" applyAlignment="1">
      <alignment horizontal="left" vertical="center"/>
    </xf>
    <xf numFmtId="173" fontId="20" fillId="11" borderId="7" xfId="0" applyNumberFormat="1" applyFont="1" applyFill="1" applyBorder="1" applyAlignment="1">
      <alignment horizontal="right" vertical="center"/>
    </xf>
    <xf numFmtId="174" fontId="21" fillId="11" borderId="7" xfId="0" applyNumberFormat="1" applyFont="1" applyFill="1" applyBorder="1" applyAlignment="1">
      <alignment horizontal="center" vertical="center"/>
    </xf>
    <xf numFmtId="0" fontId="19" fillId="13" borderId="7" xfId="0" applyFont="1" applyFill="1" applyBorder="1" applyAlignment="1">
      <alignment horizontal="left" vertical="center"/>
    </xf>
    <xf numFmtId="173" fontId="22" fillId="13" borderId="7" xfId="0" applyNumberFormat="1" applyFont="1" applyFill="1" applyBorder="1" applyAlignment="1">
      <alignment horizontal="right" vertical="center"/>
    </xf>
    <xf numFmtId="0" fontId="20" fillId="13" borderId="7" xfId="0" applyFont="1" applyFill="1" applyBorder="1" applyAlignment="1">
      <alignment horizontal="left" vertical="center"/>
    </xf>
    <xf numFmtId="0" fontId="23" fillId="14" borderId="7" xfId="0" applyFont="1" applyFill="1" applyBorder="1" applyAlignment="1">
      <alignment horizontal="left" vertical="center"/>
    </xf>
    <xf numFmtId="173" fontId="23" fillId="14" borderId="7" xfId="0" applyNumberFormat="1" applyFont="1" applyFill="1" applyBorder="1" applyAlignment="1">
      <alignment horizontal="right" vertical="center"/>
    </xf>
    <xf numFmtId="174" fontId="24" fillId="14" borderId="7" xfId="0" applyNumberFormat="1" applyFont="1" applyFill="1" applyBorder="1" applyAlignment="1">
      <alignment horizontal="center" vertical="center"/>
    </xf>
    <xf numFmtId="173" fontId="21" fillId="5" borderId="7" xfId="0" applyNumberFormat="1" applyFont="1" applyFill="1" applyBorder="1" applyAlignment="1">
      <alignment horizontal="right" vertical="center"/>
    </xf>
    <xf numFmtId="0" fontId="25" fillId="10" borderId="7" xfId="0" applyFont="1" applyFill="1" applyBorder="1" applyAlignment="1">
      <alignment horizontal="left" vertical="center"/>
    </xf>
    <xf numFmtId="173" fontId="25" fillId="10" borderId="7" xfId="0" applyNumberFormat="1" applyFont="1" applyFill="1" applyBorder="1" applyAlignment="1">
      <alignment horizontal="right" vertical="center"/>
    </xf>
    <xf numFmtId="174" fontId="26" fillId="10" borderId="7" xfId="0" applyNumberFormat="1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left" vertical="center"/>
    </xf>
    <xf numFmtId="173" fontId="27" fillId="8" borderId="8" xfId="0" applyNumberFormat="1" applyFont="1" applyFill="1" applyBorder="1" applyAlignment="1">
      <alignment horizontal="right" vertical="center"/>
    </xf>
    <xf numFmtId="0" fontId="20" fillId="8" borderId="7" xfId="0" applyFont="1" applyFill="1" applyBorder="1" applyAlignment="1">
      <alignment horizontal="left" vertical="center"/>
    </xf>
    <xf numFmtId="173" fontId="27" fillId="8" borderId="7" xfId="0" applyNumberFormat="1" applyFont="1" applyFill="1" applyBorder="1" applyAlignment="1">
      <alignment horizontal="right" vertical="center"/>
    </xf>
    <xf numFmtId="0" fontId="6" fillId="9" borderId="7" xfId="0" applyFont="1" applyFill="1" applyBorder="1" applyAlignment="1">
      <alignment horizontal="center" vertical="center"/>
    </xf>
    <xf numFmtId="0" fontId="0" fillId="0" borderId="7" xfId="0" applyBorder="1"/>
    <xf numFmtId="173" fontId="0" fillId="0" borderId="7" xfId="0" applyNumberFormat="1" applyBorder="1"/>
    <xf numFmtId="3" fontId="0" fillId="0" borderId="0" xfId="0" applyNumberFormat="1"/>
    <xf numFmtId="6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0" fontId="28" fillId="14" borderId="7" xfId="0" applyFont="1" applyFill="1" applyBorder="1" applyAlignment="1">
      <alignment horizontal="left" vertical="center"/>
    </xf>
  </cellXfs>
  <cellStyles count="2">
    <cellStyle name="Moneda" xfId="1" builtinId="4"/>
    <cellStyle name="Normal" xfId="0" builtinId="0"/>
  </cellStyles>
  <dxfs count="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'[1]GRAFICAS ESTIMADO'!$F$14:$F$18</c:f>
              <c:strCache>
                <c:ptCount val="5"/>
                <c:pt idx="0">
                  <c:v>Profesionales</c:v>
                </c:pt>
                <c:pt idx="1">
                  <c:v>Tecnológicos</c:v>
                </c:pt>
                <c:pt idx="2">
                  <c:v>Gastos adm.</c:v>
                </c:pt>
                <c:pt idx="3">
                  <c:v>Imprevistos</c:v>
                </c:pt>
                <c:pt idx="4">
                  <c:v>Ganancia</c:v>
                </c:pt>
              </c:strCache>
            </c:strRef>
          </c:cat>
          <c:val>
            <c:numRef>
              <c:f>'[1]GRAFICAS ESTIMADO'!$G$14:$G$18</c:f>
              <c:numCache>
                <c:formatCode>"$"#,##0</c:formatCode>
                <c:ptCount val="5"/>
                <c:pt idx="0">
                  <c:v>324000000</c:v>
                </c:pt>
                <c:pt idx="1">
                  <c:v>12000000</c:v>
                </c:pt>
                <c:pt idx="2">
                  <c:v>7660000</c:v>
                </c:pt>
                <c:pt idx="3">
                  <c:v>68732000</c:v>
                </c:pt>
                <c:pt idx="4">
                  <c:v>51549000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E0-423F-9EAC-B72B00C92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185FA5"/>
            </a:solidFill>
            <a:ln>
              <a:prstDash val="solid"/>
            </a:ln>
          </c:spPr>
          <c:invertIfNegative val="1"/>
          <c:cat>
            <c:strRef>
              <c:f>'[1]GRAFICAS ESTIMADO'!$F$21:$F$26</c:f>
              <c:strCache>
                <c:ptCount val="6"/>
                <c:pt idx="0">
                  <c:v>Profesionales</c:v>
                </c:pt>
                <c:pt idx="1">
                  <c:v>Tecnológicos</c:v>
                </c:pt>
                <c:pt idx="2">
                  <c:v>Gastos adm.</c:v>
                </c:pt>
                <c:pt idx="3">
                  <c:v>Imprevistos</c:v>
                </c:pt>
                <c:pt idx="4">
                  <c:v>Ganancia</c:v>
                </c:pt>
                <c:pt idx="5">
                  <c:v>Total</c:v>
                </c:pt>
              </c:strCache>
            </c:strRef>
          </c:cat>
          <c:val>
            <c:numRef>
              <c:f>'[1]GRAFICAS ESTIMADO'!$G$21:$G$26</c:f>
              <c:numCache>
                <c:formatCode>"$"#,##0</c:formatCode>
                <c:ptCount val="6"/>
                <c:pt idx="0">
                  <c:v>324000000</c:v>
                </c:pt>
                <c:pt idx="1">
                  <c:v>12000000</c:v>
                </c:pt>
                <c:pt idx="2">
                  <c:v>7660000</c:v>
                </c:pt>
                <c:pt idx="3">
                  <c:v>68732000</c:v>
                </c:pt>
                <c:pt idx="4">
                  <c:v>51549000</c:v>
                </c:pt>
                <c:pt idx="5">
                  <c:v>463941000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E2F-4BC4-8748-E9A20BFCB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Valor (COP)</a:t>
                </a:r>
              </a:p>
            </c:rich>
          </c:tx>
          <c:overlay val="1"/>
        </c:title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50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7961ED-1D00-4B30-982E-4FA93C887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26</xdr:row>
      <xdr:rowOff>0</xdr:rowOff>
    </xdr:from>
    <xdr:ext cx="504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3B9C77-F15C-4034-9FBB-09B53B4BD0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prendiz\Downloads\Graficas_Estimado_INVENTRA.xlsx" TargetMode="External"/><Relationship Id="rId1" Type="http://schemas.openxmlformats.org/officeDocument/2006/relationships/externalLinkPath" Target="Graficas_Estimado_INVENT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CAS ESTIMADO"/>
    </sheetNames>
    <sheetDataSet>
      <sheetData sheetId="0">
        <row r="14">
          <cell r="F14" t="str">
            <v>Profesionales</v>
          </cell>
          <cell r="G14">
            <v>324000000</v>
          </cell>
        </row>
        <row r="15">
          <cell r="F15" t="str">
            <v>Tecnológicos</v>
          </cell>
          <cell r="G15">
            <v>12000000</v>
          </cell>
        </row>
        <row r="16">
          <cell r="F16" t="str">
            <v>Gastos adm.</v>
          </cell>
          <cell r="G16">
            <v>7660000</v>
          </cell>
        </row>
        <row r="17">
          <cell r="F17" t="str">
            <v>Imprevistos</v>
          </cell>
          <cell r="G17">
            <v>68732000</v>
          </cell>
        </row>
        <row r="18">
          <cell r="F18" t="str">
            <v>Ganancia</v>
          </cell>
          <cell r="G18">
            <v>51549000</v>
          </cell>
        </row>
        <row r="21">
          <cell r="F21" t="str">
            <v>Profesionales</v>
          </cell>
          <cell r="G21">
            <v>324000000</v>
          </cell>
        </row>
        <row r="22">
          <cell r="F22" t="str">
            <v>Tecnológicos</v>
          </cell>
          <cell r="G22">
            <v>12000000</v>
          </cell>
        </row>
        <row r="23">
          <cell r="F23" t="str">
            <v>Gastos adm.</v>
          </cell>
          <cell r="G23">
            <v>7660000</v>
          </cell>
        </row>
        <row r="24">
          <cell r="F24" t="str">
            <v>Imprevistos</v>
          </cell>
          <cell r="G24">
            <v>68732000</v>
          </cell>
        </row>
        <row r="25">
          <cell r="F25" t="str">
            <v>Ganancia</v>
          </cell>
          <cell r="G25">
            <v>51549000</v>
          </cell>
        </row>
        <row r="26">
          <cell r="F26" t="str">
            <v>Total</v>
          </cell>
          <cell r="G26">
            <v>463941000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F2405A-1C1F-455F-B91A-C071622846F1}" name="Tabla1" displayName="Tabla1" ref="E1:I9" totalsRowShown="0" headerRowDxfId="6" headerRowBorderDxfId="5" tableBorderDxfId="4">
  <autoFilter ref="E1:I9" xr:uid="{98F2405A-1C1F-455F-B91A-C071622846F1}"/>
  <tableColumns count="5">
    <tableColumn id="1" xr3:uid="{A50AA827-1C75-4D65-B93A-DA0A5A459A54}" name="Profesional" dataDxfId="3"/>
    <tableColumn id="2" xr3:uid="{5AD66FC0-CF5A-4F15-BD19-DD4C66B88423}" name="Procesador" dataDxfId="2"/>
    <tableColumn id="3" xr3:uid="{7A3D8D1B-763E-4AAB-8D02-FCE7B43C014A}" name="Memoria RAM" dataDxfId="1"/>
    <tableColumn id="4" xr3:uid="{9603DB00-5267-4E9F-B5A2-74E0FE22D8FF}" name="Disco Duro" dataDxfId="0"/>
    <tableColumn id="5" xr3:uid="{30975601-98B4-4CE6-9D91-84466D9CA673}" name="COST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1227D-E2E4-4699-92B9-B833E0FBE1CC}">
  <dimension ref="A1:J10"/>
  <sheetViews>
    <sheetView zoomScale="130" zoomScaleNormal="130" workbookViewId="0">
      <selection activeCell="C19" sqref="C19"/>
    </sheetView>
  </sheetViews>
  <sheetFormatPr baseColWidth="10" defaultColWidth="11.42578125" defaultRowHeight="15" x14ac:dyDescent="0.25"/>
  <cols>
    <col min="1" max="1" width="6" style="2" bestFit="1" customWidth="1"/>
    <col min="2" max="2" width="23.42578125" style="2" bestFit="1" customWidth="1"/>
    <col min="3" max="3" width="8.85546875" style="3" bestFit="1" customWidth="1"/>
    <col min="4" max="4" width="23.42578125" style="2" customWidth="1"/>
    <col min="5" max="5" width="11.42578125" style="3"/>
    <col min="6" max="6" width="13.7109375" style="2" bestFit="1" customWidth="1"/>
    <col min="7" max="7" width="11.42578125" style="3"/>
    <col min="8" max="8" width="12.5703125" style="2" bestFit="1" customWidth="1"/>
    <col min="9" max="9" width="11.42578125" style="3"/>
    <col min="10" max="10" width="16.5703125" style="2" bestFit="1" customWidth="1"/>
    <col min="11" max="16384" width="11.42578125" style="2"/>
  </cols>
  <sheetData>
    <row r="1" spans="1:10" s="3" customFormat="1" ht="15.75" thickBot="1" x14ac:dyDescent="0.3">
      <c r="A1" s="14" t="s">
        <v>1</v>
      </c>
      <c r="B1" s="14" t="s">
        <v>11</v>
      </c>
      <c r="C1" s="14" t="s">
        <v>15</v>
      </c>
      <c r="D1" s="14" t="s">
        <v>17</v>
      </c>
      <c r="E1" s="14" t="s">
        <v>36</v>
      </c>
      <c r="F1" s="14" t="s">
        <v>37</v>
      </c>
      <c r="G1" s="14" t="s">
        <v>38</v>
      </c>
      <c r="H1" s="14" t="s">
        <v>18</v>
      </c>
      <c r="I1" s="14" t="s">
        <v>19</v>
      </c>
      <c r="J1" s="14" t="s">
        <v>20</v>
      </c>
    </row>
    <row r="2" spans="1:10" ht="24.75" customHeight="1" thickBot="1" x14ac:dyDescent="0.3">
      <c r="A2" s="15">
        <v>1</v>
      </c>
      <c r="B2" s="16" t="s">
        <v>63</v>
      </c>
      <c r="C2" s="15">
        <v>1</v>
      </c>
      <c r="D2" s="7" t="s">
        <v>64</v>
      </c>
      <c r="E2" s="15">
        <v>18</v>
      </c>
      <c r="F2" s="7" t="s">
        <v>65</v>
      </c>
      <c r="G2" s="17">
        <v>6</v>
      </c>
      <c r="H2" s="7" t="s">
        <v>66</v>
      </c>
      <c r="I2" s="17">
        <v>20</v>
      </c>
      <c r="J2" s="7" t="s">
        <v>67</v>
      </c>
    </row>
    <row r="3" spans="1:10" ht="29.25" customHeight="1" x14ac:dyDescent="0.25">
      <c r="A3" s="15">
        <v>2</v>
      </c>
      <c r="B3" s="7" t="s">
        <v>69</v>
      </c>
      <c r="C3" s="15">
        <v>1</v>
      </c>
      <c r="D3" s="7" t="s">
        <v>70</v>
      </c>
      <c r="E3" s="15">
        <v>18</v>
      </c>
      <c r="F3" s="7" t="s">
        <v>83</v>
      </c>
      <c r="G3" s="15">
        <v>6</v>
      </c>
      <c r="H3" s="7" t="s">
        <v>71</v>
      </c>
      <c r="I3" s="7">
        <v>15</v>
      </c>
      <c r="J3" s="7" t="s">
        <v>72</v>
      </c>
    </row>
    <row r="4" spans="1:10" ht="31.5" customHeight="1" x14ac:dyDescent="0.25">
      <c r="A4" s="15">
        <v>3</v>
      </c>
      <c r="B4" s="15" t="s">
        <v>12</v>
      </c>
      <c r="C4" s="15">
        <v>1</v>
      </c>
      <c r="D4" s="7" t="s">
        <v>73</v>
      </c>
      <c r="E4" s="15">
        <v>18</v>
      </c>
      <c r="F4" s="7" t="s">
        <v>84</v>
      </c>
      <c r="G4" s="15">
        <v>6</v>
      </c>
      <c r="H4" s="7" t="s">
        <v>74</v>
      </c>
      <c r="I4" s="7">
        <v>15</v>
      </c>
      <c r="J4" s="7" t="s">
        <v>68</v>
      </c>
    </row>
    <row r="5" spans="1:10" ht="38.25" customHeight="1" x14ac:dyDescent="0.25">
      <c r="A5" s="15">
        <v>4</v>
      </c>
      <c r="B5" s="15" t="s">
        <v>13</v>
      </c>
      <c r="C5" s="15">
        <v>1</v>
      </c>
      <c r="D5" s="7" t="s">
        <v>75</v>
      </c>
      <c r="E5" s="15">
        <v>18</v>
      </c>
      <c r="F5" s="7" t="s">
        <v>85</v>
      </c>
      <c r="G5" s="15">
        <v>5</v>
      </c>
      <c r="H5" s="7" t="s">
        <v>76</v>
      </c>
      <c r="I5" s="7">
        <v>15</v>
      </c>
      <c r="J5" s="7" t="s">
        <v>86</v>
      </c>
    </row>
    <row r="6" spans="1:10" ht="33.75" customHeight="1" x14ac:dyDescent="0.25">
      <c r="A6" s="15">
        <v>5</v>
      </c>
      <c r="B6" s="15" t="s">
        <v>91</v>
      </c>
      <c r="C6" s="15">
        <v>1</v>
      </c>
      <c r="D6" s="7" t="s">
        <v>70</v>
      </c>
      <c r="E6" s="15">
        <v>18</v>
      </c>
      <c r="F6" s="7" t="s">
        <v>83</v>
      </c>
      <c r="G6" s="7">
        <v>8</v>
      </c>
      <c r="H6" s="7" t="s">
        <v>78</v>
      </c>
      <c r="I6" s="7">
        <v>20</v>
      </c>
      <c r="J6" s="7" t="s">
        <v>72</v>
      </c>
    </row>
    <row r="7" spans="1:10" ht="31.5" customHeight="1" x14ac:dyDescent="0.25">
      <c r="A7" s="15">
        <v>6</v>
      </c>
      <c r="B7" s="15" t="s">
        <v>92</v>
      </c>
      <c r="C7" s="15">
        <v>1</v>
      </c>
      <c r="D7" s="7" t="s">
        <v>79</v>
      </c>
      <c r="E7" s="15">
        <v>18</v>
      </c>
      <c r="F7" s="7" t="s">
        <v>87</v>
      </c>
      <c r="G7" s="15">
        <v>8</v>
      </c>
      <c r="H7" s="7" t="s">
        <v>80</v>
      </c>
      <c r="I7" s="15">
        <v>20</v>
      </c>
      <c r="J7" s="7" t="s">
        <v>88</v>
      </c>
    </row>
    <row r="8" spans="1:10" ht="31.5" customHeight="1" x14ac:dyDescent="0.25">
      <c r="A8" s="15">
        <v>7</v>
      </c>
      <c r="B8" s="15" t="s">
        <v>16</v>
      </c>
      <c r="C8" s="15">
        <v>1</v>
      </c>
      <c r="D8" s="7" t="s">
        <v>81</v>
      </c>
      <c r="E8" s="15">
        <v>18</v>
      </c>
      <c r="F8" s="7" t="s">
        <v>89</v>
      </c>
      <c r="G8" s="15">
        <v>6</v>
      </c>
      <c r="H8" s="7" t="s">
        <v>82</v>
      </c>
      <c r="I8" s="15">
        <v>15</v>
      </c>
      <c r="J8" s="7" t="s">
        <v>90</v>
      </c>
    </row>
    <row r="9" spans="1:10" x14ac:dyDescent="0.25">
      <c r="A9" s="1"/>
      <c r="B9" s="1"/>
      <c r="C9" s="1"/>
      <c r="D9" s="1"/>
      <c r="E9" s="1"/>
      <c r="F9" s="1"/>
      <c r="G9" s="1"/>
      <c r="H9" s="1"/>
      <c r="I9" s="18" t="s">
        <v>41</v>
      </c>
      <c r="J9" s="19" t="s">
        <v>114</v>
      </c>
    </row>
    <row r="10" spans="1:10" x14ac:dyDescent="0.25">
      <c r="A10" s="4" t="s">
        <v>39</v>
      </c>
      <c r="B10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772C3-FE6F-44D9-A5F2-03004A6EA556}">
  <dimension ref="A1:H28"/>
  <sheetViews>
    <sheetView tabSelected="1" workbookViewId="0">
      <selection activeCell="H27" sqref="H27"/>
    </sheetView>
  </sheetViews>
  <sheetFormatPr baseColWidth="10" defaultColWidth="9.140625" defaultRowHeight="15" x14ac:dyDescent="0.25"/>
  <cols>
    <col min="1" max="1" width="28" style="42" customWidth="1"/>
    <col min="2" max="2" width="18" style="42" customWidth="1"/>
    <col min="3" max="8" width="14" style="42" customWidth="1"/>
    <col min="9" max="16384" width="9.140625" style="42"/>
  </cols>
  <sheetData>
    <row r="1" spans="1:8" ht="16.5" x14ac:dyDescent="0.25">
      <c r="A1" s="41" t="s">
        <v>204</v>
      </c>
      <c r="B1" s="33"/>
      <c r="C1" s="33"/>
      <c r="D1" s="33"/>
      <c r="E1" s="33"/>
    </row>
    <row r="2" spans="1:8" ht="18" customHeight="1" x14ac:dyDescent="0.25">
      <c r="A2" s="57" t="s">
        <v>205</v>
      </c>
      <c r="B2" s="33"/>
      <c r="C2" s="33"/>
      <c r="D2" s="33"/>
      <c r="E2" s="33"/>
    </row>
    <row r="4" spans="1:8" ht="15.95" customHeight="1" x14ac:dyDescent="0.25">
      <c r="A4" s="58" t="s">
        <v>116</v>
      </c>
      <c r="B4" s="58" t="s">
        <v>0</v>
      </c>
      <c r="C4" s="58" t="s">
        <v>206</v>
      </c>
      <c r="D4" s="58" t="s">
        <v>207</v>
      </c>
    </row>
    <row r="5" spans="1:8" ht="20.100000000000001" customHeight="1" x14ac:dyDescent="0.25">
      <c r="A5" s="59" t="s">
        <v>208</v>
      </c>
      <c r="B5" s="60">
        <v>279000000</v>
      </c>
      <c r="C5" s="61">
        <f>B5/B11</f>
        <v>0.67400909791492025</v>
      </c>
    </row>
    <row r="6" spans="1:8" ht="20.100000000000001" customHeight="1" x14ac:dyDescent="0.25">
      <c r="A6" s="59" t="s">
        <v>209</v>
      </c>
      <c r="B6" s="60">
        <v>7000000</v>
      </c>
      <c r="C6" s="61">
        <f>B6/B11</f>
        <v>1.6910622528331334E-2</v>
      </c>
    </row>
    <row r="7" spans="1:8" ht="20.100000000000001" customHeight="1" x14ac:dyDescent="0.25">
      <c r="A7" s="59" t="s">
        <v>210</v>
      </c>
      <c r="B7" s="60">
        <v>7660000</v>
      </c>
      <c r="C7" s="61">
        <f>B7/B11</f>
        <v>1.8505052652431145E-2</v>
      </c>
    </row>
    <row r="8" spans="1:8" ht="20.100000000000001" customHeight="1" x14ac:dyDescent="0.25">
      <c r="A8" s="62" t="s">
        <v>211</v>
      </c>
      <c r="B8" s="63">
        <f>B5+B6+B7</f>
        <v>293660000</v>
      </c>
      <c r="C8" s="64"/>
      <c r="D8" s="63">
        <f>B8</f>
        <v>293660000</v>
      </c>
    </row>
    <row r="9" spans="1:8" ht="20.100000000000001" customHeight="1" x14ac:dyDescent="0.25">
      <c r="A9" s="65" t="s">
        <v>212</v>
      </c>
      <c r="B9" s="66">
        <v>68732000</v>
      </c>
      <c r="C9" s="67">
        <f>B9/B11</f>
        <v>0.16604298680246701</v>
      </c>
      <c r="D9" s="68">
        <f>D8+B9</f>
        <v>362392000</v>
      </c>
    </row>
    <row r="10" spans="1:8" ht="20.100000000000001" customHeight="1" thickBot="1" x14ac:dyDescent="0.3">
      <c r="A10" s="69" t="s">
        <v>213</v>
      </c>
      <c r="B10" s="70">
        <v>51549000</v>
      </c>
      <c r="C10" s="71">
        <f>B10/B11</f>
        <v>0.12453224010185027</v>
      </c>
      <c r="D10" s="68">
        <f>D9+B10</f>
        <v>413941000</v>
      </c>
    </row>
    <row r="11" spans="1:8" ht="20.100000000000001" customHeight="1" thickBot="1" x14ac:dyDescent="0.3">
      <c r="A11" s="72" t="s">
        <v>214</v>
      </c>
      <c r="B11" s="73">
        <f>B8+B9+B10</f>
        <v>413941000</v>
      </c>
      <c r="C11" s="74"/>
      <c r="D11" s="75">
        <f>B11</f>
        <v>413941000</v>
      </c>
    </row>
    <row r="13" spans="1:8" ht="15.95" customHeight="1" x14ac:dyDescent="0.25">
      <c r="F13" s="76" t="s">
        <v>215</v>
      </c>
      <c r="G13" s="33"/>
      <c r="H13" s="33"/>
    </row>
    <row r="14" spans="1:8" x14ac:dyDescent="0.25">
      <c r="F14" s="77" t="s">
        <v>93</v>
      </c>
      <c r="G14" s="78">
        <v>279000000</v>
      </c>
    </row>
    <row r="15" spans="1:8" x14ac:dyDescent="0.25">
      <c r="F15" s="77" t="s">
        <v>216</v>
      </c>
      <c r="G15" s="78">
        <v>12000000</v>
      </c>
    </row>
    <row r="16" spans="1:8" x14ac:dyDescent="0.25">
      <c r="F16" s="77" t="s">
        <v>217</v>
      </c>
      <c r="G16" s="78">
        <v>7660000</v>
      </c>
    </row>
    <row r="17" spans="1:8" x14ac:dyDescent="0.25">
      <c r="F17" s="77" t="s">
        <v>218</v>
      </c>
      <c r="G17" s="78">
        <v>68732000</v>
      </c>
    </row>
    <row r="18" spans="1:8" x14ac:dyDescent="0.25">
      <c r="F18" s="77" t="s">
        <v>219</v>
      </c>
      <c r="G18" s="78">
        <v>51549000</v>
      </c>
    </row>
    <row r="20" spans="1:8" ht="15.95" customHeight="1" x14ac:dyDescent="0.25">
      <c r="F20" s="76" t="s">
        <v>220</v>
      </c>
      <c r="G20" s="33"/>
      <c r="H20" s="33"/>
    </row>
    <row r="21" spans="1:8" x14ac:dyDescent="0.25">
      <c r="F21" s="77" t="s">
        <v>93</v>
      </c>
      <c r="G21" s="78">
        <v>279000000</v>
      </c>
    </row>
    <row r="22" spans="1:8" x14ac:dyDescent="0.25">
      <c r="F22" s="77" t="s">
        <v>216</v>
      </c>
      <c r="G22" s="78">
        <v>7000000</v>
      </c>
    </row>
    <row r="23" spans="1:8" x14ac:dyDescent="0.25">
      <c r="F23" s="77" t="s">
        <v>217</v>
      </c>
      <c r="G23" s="78">
        <v>7660000</v>
      </c>
    </row>
    <row r="24" spans="1:8" x14ac:dyDescent="0.25">
      <c r="F24" s="77" t="s">
        <v>218</v>
      </c>
      <c r="G24" s="78">
        <v>68732000</v>
      </c>
    </row>
    <row r="25" spans="1:8" x14ac:dyDescent="0.25">
      <c r="F25" s="77" t="s">
        <v>219</v>
      </c>
      <c r="G25" s="78">
        <v>51549000</v>
      </c>
    </row>
    <row r="26" spans="1:8" x14ac:dyDescent="0.25">
      <c r="F26" s="77" t="s">
        <v>221</v>
      </c>
      <c r="G26" s="78">
        <v>413941000</v>
      </c>
    </row>
    <row r="28" spans="1:8" ht="18" customHeight="1" x14ac:dyDescent="0.25">
      <c r="A28" s="84" t="s">
        <v>236</v>
      </c>
      <c r="B28" s="33"/>
      <c r="C28" s="33"/>
      <c r="D28" s="33"/>
      <c r="E28" s="33"/>
    </row>
  </sheetData>
  <mergeCells count="5">
    <mergeCell ref="A1:E1"/>
    <mergeCell ref="A2:E2"/>
    <mergeCell ref="F13:H13"/>
    <mergeCell ref="F20:H20"/>
    <mergeCell ref="A28:E2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9BFA-26F5-4817-B404-D96A63623AE1}">
  <dimension ref="A1:N26"/>
  <sheetViews>
    <sheetView topLeftCell="C1" zoomScale="145" zoomScaleNormal="145" workbookViewId="0">
      <selection activeCell="I3" sqref="I3"/>
    </sheetView>
  </sheetViews>
  <sheetFormatPr baseColWidth="10" defaultRowHeight="15" x14ac:dyDescent="0.25"/>
  <cols>
    <col min="1" max="1" width="11.42578125" style="7"/>
    <col min="2" max="2" width="24.140625" customWidth="1"/>
    <col min="3" max="3" width="27.42578125" style="3" customWidth="1"/>
    <col min="4" max="4" width="1" hidden="1" customWidth="1"/>
    <col min="5" max="5" width="17.140625" customWidth="1"/>
    <col min="6" max="6" width="32" customWidth="1"/>
    <col min="7" max="7" width="15.7109375" customWidth="1"/>
    <col min="8" max="8" width="25.5703125" customWidth="1"/>
    <col min="9" max="9" width="21.5703125" customWidth="1"/>
    <col min="10" max="10" width="26.7109375" hidden="1" customWidth="1"/>
    <col min="11" max="11" width="0" hidden="1" customWidth="1"/>
  </cols>
  <sheetData>
    <row r="1" spans="1:14" s="6" customFormat="1" x14ac:dyDescent="0.25">
      <c r="A1" s="7"/>
      <c r="B1" s="11" t="s">
        <v>42</v>
      </c>
      <c r="C1" s="5" t="s">
        <v>48</v>
      </c>
      <c r="D1" s="9"/>
      <c r="E1" s="81" t="s">
        <v>223</v>
      </c>
      <c r="F1" s="81" t="s">
        <v>94</v>
      </c>
      <c r="G1" s="81" t="s">
        <v>224</v>
      </c>
      <c r="H1" s="81" t="s">
        <v>225</v>
      </c>
      <c r="I1" s="81" t="s">
        <v>48</v>
      </c>
      <c r="J1" s="11"/>
      <c r="K1" s="9" t="s">
        <v>48</v>
      </c>
      <c r="L1" s="9" t="s">
        <v>232</v>
      </c>
      <c r="M1" s="9" t="s">
        <v>234</v>
      </c>
      <c r="N1" s="9" t="s">
        <v>235</v>
      </c>
    </row>
    <row r="2" spans="1:14" x14ac:dyDescent="0.25">
      <c r="A2" s="7">
        <v>1</v>
      </c>
      <c r="B2" s="8" t="s">
        <v>44</v>
      </c>
      <c r="D2" s="8"/>
      <c r="E2" s="82" t="s">
        <v>144</v>
      </c>
      <c r="F2" s="82" t="s">
        <v>226</v>
      </c>
      <c r="G2" s="82" t="s">
        <v>96</v>
      </c>
      <c r="H2" s="82" t="s">
        <v>95</v>
      </c>
      <c r="I2" s="83">
        <v>3500000</v>
      </c>
      <c r="J2" t="s">
        <v>51</v>
      </c>
      <c r="K2" t="s">
        <v>49</v>
      </c>
      <c r="L2" t="s">
        <v>233</v>
      </c>
      <c r="M2" s="80">
        <f>Tabla1[[#This Row],[COSTO]]/120</f>
        <v>29166.666666666668</v>
      </c>
      <c r="N2" s="80">
        <f>M2*18</f>
        <v>525000</v>
      </c>
    </row>
    <row r="3" spans="1:14" ht="30" x14ac:dyDescent="0.25">
      <c r="A3" s="7" t="s">
        <v>8</v>
      </c>
      <c r="B3" t="s">
        <v>45</v>
      </c>
      <c r="C3" s="3" t="s">
        <v>49</v>
      </c>
      <c r="E3" s="82" t="s">
        <v>69</v>
      </c>
      <c r="F3" s="82" t="s">
        <v>227</v>
      </c>
      <c r="G3" s="82" t="s">
        <v>228</v>
      </c>
      <c r="H3" s="82" t="s">
        <v>229</v>
      </c>
      <c r="I3" s="83">
        <v>2300000</v>
      </c>
      <c r="J3" t="s">
        <v>52</v>
      </c>
      <c r="K3" t="s">
        <v>49</v>
      </c>
      <c r="L3" s="42" t="s">
        <v>233</v>
      </c>
      <c r="M3" s="80">
        <f>Tabla1[[#This Row],[COSTO]]/120</f>
        <v>19166.666666666668</v>
      </c>
      <c r="N3" s="80">
        <f t="shared" ref="N3:N8" si="0">M3*18</f>
        <v>345000</v>
      </c>
    </row>
    <row r="4" spans="1:14" ht="30" x14ac:dyDescent="0.25">
      <c r="A4" s="7" t="s">
        <v>23</v>
      </c>
      <c r="B4" s="10" t="s">
        <v>62</v>
      </c>
      <c r="C4" s="80" t="s">
        <v>222</v>
      </c>
      <c r="D4" s="8"/>
      <c r="E4" s="82" t="s">
        <v>230</v>
      </c>
      <c r="F4" s="82" t="s">
        <v>227</v>
      </c>
      <c r="G4" s="82" t="s">
        <v>228</v>
      </c>
      <c r="H4" s="82" t="s">
        <v>229</v>
      </c>
      <c r="I4" s="83">
        <v>2300000</v>
      </c>
      <c r="J4" t="s">
        <v>53</v>
      </c>
      <c r="K4" t="s">
        <v>49</v>
      </c>
      <c r="L4" s="42" t="s">
        <v>233</v>
      </c>
      <c r="M4" s="80">
        <f>Tabla1[[#This Row],[COSTO]]/120</f>
        <v>19166.666666666668</v>
      </c>
      <c r="N4" s="80">
        <f t="shared" si="0"/>
        <v>345000</v>
      </c>
    </row>
    <row r="5" spans="1:14" ht="30" x14ac:dyDescent="0.25">
      <c r="A5" s="7" t="s">
        <v>25</v>
      </c>
      <c r="B5" s="10" t="s">
        <v>50</v>
      </c>
      <c r="C5" s="3" t="s">
        <v>55</v>
      </c>
      <c r="E5" s="82" t="s">
        <v>231</v>
      </c>
      <c r="F5" s="82" t="s">
        <v>226</v>
      </c>
      <c r="G5" s="82" t="s">
        <v>96</v>
      </c>
      <c r="H5" s="82" t="s">
        <v>95</v>
      </c>
      <c r="I5" s="83">
        <v>3500000</v>
      </c>
      <c r="J5" t="s">
        <v>54</v>
      </c>
      <c r="K5" t="s">
        <v>55</v>
      </c>
      <c r="L5" s="42" t="s">
        <v>233</v>
      </c>
      <c r="M5" s="80">
        <f>Tabla1[[#This Row],[COSTO]]/120</f>
        <v>29166.666666666668</v>
      </c>
      <c r="N5" s="80">
        <f t="shared" si="0"/>
        <v>525000</v>
      </c>
    </row>
    <row r="6" spans="1:14" ht="30" x14ac:dyDescent="0.25">
      <c r="E6" s="82" t="s">
        <v>77</v>
      </c>
      <c r="F6" s="82" t="s">
        <v>226</v>
      </c>
      <c r="G6" s="82" t="s">
        <v>96</v>
      </c>
      <c r="H6" s="82" t="s">
        <v>95</v>
      </c>
      <c r="I6" s="83">
        <v>3500000</v>
      </c>
      <c r="J6" t="s">
        <v>56</v>
      </c>
      <c r="K6" t="s">
        <v>55</v>
      </c>
      <c r="L6" s="42" t="s">
        <v>233</v>
      </c>
      <c r="M6" s="80">
        <f>Tabla1[[#This Row],[COSTO]]/120</f>
        <v>29166.666666666668</v>
      </c>
      <c r="N6" s="80">
        <f t="shared" si="0"/>
        <v>525000</v>
      </c>
    </row>
    <row r="7" spans="1:14" ht="30" x14ac:dyDescent="0.25">
      <c r="E7" s="82" t="s">
        <v>14</v>
      </c>
      <c r="F7" s="82" t="s">
        <v>226</v>
      </c>
      <c r="G7" s="82" t="s">
        <v>96</v>
      </c>
      <c r="H7" s="82" t="s">
        <v>95</v>
      </c>
      <c r="I7" s="83">
        <v>3500000</v>
      </c>
      <c r="J7" t="s">
        <v>57</v>
      </c>
      <c r="K7" t="s">
        <v>55</v>
      </c>
      <c r="L7" s="42" t="s">
        <v>233</v>
      </c>
      <c r="M7" s="80">
        <f>Tabla1[[#This Row],[COSTO]]/120</f>
        <v>29166.666666666668</v>
      </c>
      <c r="N7" s="80">
        <f t="shared" si="0"/>
        <v>525000</v>
      </c>
    </row>
    <row r="8" spans="1:14" x14ac:dyDescent="0.25">
      <c r="E8" s="82" t="s">
        <v>16</v>
      </c>
      <c r="F8" s="82" t="s">
        <v>227</v>
      </c>
      <c r="G8" s="82" t="s">
        <v>228</v>
      </c>
      <c r="H8" s="82" t="s">
        <v>229</v>
      </c>
      <c r="I8" s="83">
        <v>2300000</v>
      </c>
      <c r="J8" t="s">
        <v>58</v>
      </c>
      <c r="K8" t="s">
        <v>49</v>
      </c>
      <c r="L8" s="42" t="s">
        <v>233</v>
      </c>
      <c r="M8" s="80">
        <f>Tabla1[[#This Row],[COSTO]]/120</f>
        <v>19166.666666666668</v>
      </c>
      <c r="N8" s="80">
        <f t="shared" si="0"/>
        <v>345000</v>
      </c>
    </row>
    <row r="9" spans="1:14" x14ac:dyDescent="0.25">
      <c r="E9" s="21"/>
      <c r="F9" s="22"/>
      <c r="G9" s="22"/>
      <c r="H9" s="23"/>
      <c r="J9" s="10" t="s">
        <v>59</v>
      </c>
      <c r="K9" t="s">
        <v>49</v>
      </c>
      <c r="M9" s="80">
        <f>M2+M3+M4+M5+M6+M7+M8</f>
        <v>174166.66666666666</v>
      </c>
      <c r="N9" s="80">
        <f>N2+N3+N4+N5+N6+N7+N8</f>
        <v>3135000</v>
      </c>
    </row>
    <row r="10" spans="1:14" x14ac:dyDescent="0.25">
      <c r="F10" s="11" t="s">
        <v>43</v>
      </c>
      <c r="G10" s="9" t="s">
        <v>48</v>
      </c>
      <c r="H10" s="20"/>
      <c r="J10" s="3"/>
      <c r="M10" s="80"/>
    </row>
    <row r="11" spans="1:14" x14ac:dyDescent="0.25">
      <c r="F11" t="s">
        <v>97</v>
      </c>
      <c r="G11" s="24" t="s">
        <v>98</v>
      </c>
      <c r="H11" s="23"/>
      <c r="J11" s="3"/>
    </row>
    <row r="12" spans="1:14" x14ac:dyDescent="0.25">
      <c r="F12" t="s">
        <v>99</v>
      </c>
      <c r="G12" t="s">
        <v>100</v>
      </c>
      <c r="J12" s="3"/>
    </row>
    <row r="13" spans="1:14" x14ac:dyDescent="0.25">
      <c r="F13" t="s">
        <v>101</v>
      </c>
      <c r="G13" t="s">
        <v>102</v>
      </c>
      <c r="J13" s="3"/>
    </row>
    <row r="14" spans="1:14" x14ac:dyDescent="0.25">
      <c r="F14" t="s">
        <v>103</v>
      </c>
      <c r="G14" t="s">
        <v>104</v>
      </c>
      <c r="I14" s="79"/>
      <c r="J14" s="3">
        <v>10</v>
      </c>
    </row>
    <row r="15" spans="1:14" x14ac:dyDescent="0.25">
      <c r="F15" t="s">
        <v>105</v>
      </c>
      <c r="G15" t="s">
        <v>104</v>
      </c>
      <c r="J15" s="3"/>
    </row>
    <row r="16" spans="1:14" x14ac:dyDescent="0.25">
      <c r="F16" t="s">
        <v>106</v>
      </c>
      <c r="G16" t="s">
        <v>104</v>
      </c>
      <c r="J16" s="3">
        <f>I16*7</f>
        <v>0</v>
      </c>
    </row>
    <row r="17" spans="6:10" x14ac:dyDescent="0.25">
      <c r="F17" t="s">
        <v>58</v>
      </c>
      <c r="G17" t="s">
        <v>104</v>
      </c>
      <c r="J17" s="3"/>
    </row>
    <row r="18" spans="6:10" x14ac:dyDescent="0.25">
      <c r="F18" t="s">
        <v>107</v>
      </c>
      <c r="G18" t="s">
        <v>104</v>
      </c>
      <c r="J18" s="3"/>
    </row>
    <row r="19" spans="6:10" x14ac:dyDescent="0.25">
      <c r="F19" s="10" t="s">
        <v>60</v>
      </c>
      <c r="G19" t="s">
        <v>108</v>
      </c>
    </row>
    <row r="20" spans="6:10" x14ac:dyDescent="0.25">
      <c r="F20" s="8" t="s">
        <v>46</v>
      </c>
    </row>
    <row r="21" spans="6:10" x14ac:dyDescent="0.25">
      <c r="F21" t="s">
        <v>109</v>
      </c>
      <c r="G21" t="s">
        <v>110</v>
      </c>
    </row>
    <row r="22" spans="6:10" x14ac:dyDescent="0.25">
      <c r="F22" t="s">
        <v>61</v>
      </c>
      <c r="G22" t="s">
        <v>111</v>
      </c>
    </row>
    <row r="23" spans="6:10" x14ac:dyDescent="0.25">
      <c r="F23" t="s">
        <v>47</v>
      </c>
      <c r="G23" t="s">
        <v>104</v>
      </c>
    </row>
    <row r="24" spans="6:10" x14ac:dyDescent="0.25">
      <c r="F24" t="s">
        <v>113</v>
      </c>
      <c r="G24" t="s">
        <v>112</v>
      </c>
    </row>
    <row r="25" spans="6:10" x14ac:dyDescent="0.25">
      <c r="G25" t="s">
        <v>115</v>
      </c>
    </row>
    <row r="26" spans="6:10" x14ac:dyDescent="0.25">
      <c r="F26" s="1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8479-8995-4A7B-AE5E-A9426A5269B4}">
  <dimension ref="A1:G43"/>
  <sheetViews>
    <sheetView topLeftCell="A30" workbookViewId="0">
      <selection activeCell="D10" sqref="D10"/>
    </sheetView>
  </sheetViews>
  <sheetFormatPr baseColWidth="10" defaultRowHeight="15" x14ac:dyDescent="0.25"/>
  <cols>
    <col min="2" max="2" width="38.42578125" customWidth="1"/>
    <col min="3" max="3" width="38.140625" customWidth="1"/>
    <col min="4" max="4" width="41.140625" customWidth="1"/>
    <col min="5" max="5" width="37.7109375" customWidth="1"/>
    <col min="6" max="6" width="40.5703125" customWidth="1"/>
    <col min="7" max="7" width="44.85546875" customWidth="1"/>
  </cols>
  <sheetData>
    <row r="1" spans="1:7" ht="15.75" thickBot="1" x14ac:dyDescent="0.3">
      <c r="A1" s="43" t="s">
        <v>1</v>
      </c>
      <c r="B1" s="43" t="s">
        <v>2</v>
      </c>
      <c r="C1" s="43" t="s">
        <v>3</v>
      </c>
      <c r="D1" s="43" t="s">
        <v>4</v>
      </c>
      <c r="E1" s="43" t="s">
        <v>5</v>
      </c>
      <c r="F1" s="43" t="s">
        <v>6</v>
      </c>
      <c r="G1" s="43" t="s">
        <v>7</v>
      </c>
    </row>
    <row r="2" spans="1:7" ht="15.75" thickBot="1" x14ac:dyDescent="0.3">
      <c r="A2" s="31" t="s">
        <v>169</v>
      </c>
      <c r="B2" s="33"/>
      <c r="C2" s="33"/>
      <c r="D2" s="33"/>
      <c r="E2" s="33"/>
      <c r="F2" s="33"/>
      <c r="G2" s="33"/>
    </row>
    <row r="3" spans="1:7" x14ac:dyDescent="0.25">
      <c r="A3" s="35" t="s">
        <v>170</v>
      </c>
      <c r="B3" s="33"/>
      <c r="C3" s="33"/>
      <c r="D3" s="33"/>
      <c r="E3" s="33"/>
      <c r="F3" s="33"/>
      <c r="G3" s="33"/>
    </row>
    <row r="4" spans="1:7" ht="96" x14ac:dyDescent="0.25">
      <c r="A4" s="44" t="s">
        <v>133</v>
      </c>
      <c r="B4" s="45" t="s">
        <v>21</v>
      </c>
      <c r="C4" s="46" t="s">
        <v>22</v>
      </c>
      <c r="D4" s="47" t="s">
        <v>12</v>
      </c>
      <c r="E4" s="48">
        <v>46059</v>
      </c>
      <c r="F4" s="48">
        <v>46087</v>
      </c>
      <c r="G4" s="49" t="s">
        <v>134</v>
      </c>
    </row>
    <row r="5" spans="1:7" ht="36" x14ac:dyDescent="0.25">
      <c r="A5" s="44" t="s">
        <v>135</v>
      </c>
      <c r="B5" s="45" t="s">
        <v>9</v>
      </c>
      <c r="C5" s="46" t="s">
        <v>10</v>
      </c>
      <c r="D5" s="47" t="s">
        <v>12</v>
      </c>
      <c r="E5" s="48">
        <v>46088</v>
      </c>
      <c r="F5" s="48">
        <v>46097</v>
      </c>
      <c r="G5" s="49" t="s">
        <v>134</v>
      </c>
    </row>
    <row r="6" spans="1:7" ht="48.75" thickBot="1" x14ac:dyDescent="0.3">
      <c r="A6" s="44" t="s">
        <v>136</v>
      </c>
      <c r="B6" s="45" t="s">
        <v>24</v>
      </c>
      <c r="C6" s="46" t="s">
        <v>26</v>
      </c>
      <c r="D6" s="47" t="s">
        <v>12</v>
      </c>
      <c r="E6" s="48">
        <v>46098</v>
      </c>
      <c r="F6" s="48">
        <v>46108</v>
      </c>
      <c r="G6" s="49" t="s">
        <v>134</v>
      </c>
    </row>
    <row r="7" spans="1:7" ht="15.75" thickBot="1" x14ac:dyDescent="0.3">
      <c r="A7" s="31" t="s">
        <v>171</v>
      </c>
      <c r="B7" s="33"/>
      <c r="C7" s="33"/>
      <c r="D7" s="33"/>
      <c r="E7" s="33"/>
      <c r="F7" s="33"/>
      <c r="G7" s="33"/>
    </row>
    <row r="8" spans="1:7" x14ac:dyDescent="0.25">
      <c r="A8" s="35" t="s">
        <v>172</v>
      </c>
      <c r="B8" s="33"/>
      <c r="C8" s="33"/>
      <c r="D8" s="33"/>
      <c r="E8" s="33"/>
      <c r="F8" s="33"/>
      <c r="G8" s="33"/>
    </row>
    <row r="9" spans="1:7" ht="36" x14ac:dyDescent="0.25">
      <c r="A9" s="44" t="s">
        <v>137</v>
      </c>
      <c r="B9" s="45" t="s">
        <v>27</v>
      </c>
      <c r="C9" s="46" t="s">
        <v>28</v>
      </c>
      <c r="D9" s="47" t="s">
        <v>12</v>
      </c>
      <c r="E9" s="48">
        <v>46109</v>
      </c>
      <c r="F9" s="48">
        <v>46117</v>
      </c>
      <c r="G9" s="49" t="s">
        <v>134</v>
      </c>
    </row>
    <row r="10" spans="1:7" ht="60" x14ac:dyDescent="0.25">
      <c r="A10" s="44" t="s">
        <v>138</v>
      </c>
      <c r="B10" s="45" t="s">
        <v>29</v>
      </c>
      <c r="C10" s="46" t="s">
        <v>30</v>
      </c>
      <c r="D10" s="47" t="s">
        <v>12</v>
      </c>
      <c r="E10" s="48">
        <v>46118</v>
      </c>
      <c r="F10" s="48">
        <v>46128</v>
      </c>
      <c r="G10" s="49" t="s">
        <v>134</v>
      </c>
    </row>
    <row r="11" spans="1:7" ht="36" x14ac:dyDescent="0.25">
      <c r="A11" s="44" t="s">
        <v>139</v>
      </c>
      <c r="B11" s="45" t="s">
        <v>31</v>
      </c>
      <c r="C11" s="46" t="s">
        <v>32</v>
      </c>
      <c r="D11" s="47" t="s">
        <v>12</v>
      </c>
      <c r="E11" s="48">
        <v>46129</v>
      </c>
      <c r="F11" s="48">
        <v>46130</v>
      </c>
      <c r="G11" s="49" t="s">
        <v>134</v>
      </c>
    </row>
    <row r="12" spans="1:7" ht="48.75" thickBot="1" x14ac:dyDescent="0.3">
      <c r="A12" s="44" t="s">
        <v>140</v>
      </c>
      <c r="B12" s="45" t="s">
        <v>33</v>
      </c>
      <c r="C12" s="46" t="s">
        <v>34</v>
      </c>
      <c r="D12" s="47" t="s">
        <v>35</v>
      </c>
      <c r="E12" s="48">
        <v>46131</v>
      </c>
      <c r="F12" s="48">
        <v>46142</v>
      </c>
      <c r="G12" s="49" t="s">
        <v>134</v>
      </c>
    </row>
    <row r="13" spans="1:7" ht="15.75" thickBot="1" x14ac:dyDescent="0.3">
      <c r="A13" s="31" t="s">
        <v>173</v>
      </c>
      <c r="B13" s="33"/>
      <c r="C13" s="33"/>
      <c r="D13" s="33"/>
      <c r="E13" s="33"/>
      <c r="F13" s="33"/>
      <c r="G13" s="33"/>
    </row>
    <row r="14" spans="1:7" x14ac:dyDescent="0.25">
      <c r="A14" s="35" t="s">
        <v>174</v>
      </c>
      <c r="B14" s="33"/>
      <c r="C14" s="33"/>
      <c r="D14" s="33"/>
      <c r="E14" s="33"/>
      <c r="F14" s="33"/>
      <c r="G14" s="33"/>
    </row>
    <row r="15" spans="1:7" ht="36" x14ac:dyDescent="0.25">
      <c r="A15" s="50" t="s">
        <v>141</v>
      </c>
      <c r="B15" s="51" t="s">
        <v>142</v>
      </c>
      <c r="C15" s="52" t="s">
        <v>143</v>
      </c>
      <c r="D15" s="53" t="s">
        <v>144</v>
      </c>
      <c r="E15" s="54">
        <v>46143</v>
      </c>
      <c r="F15" s="54">
        <v>46152</v>
      </c>
      <c r="G15" s="55" t="s">
        <v>145</v>
      </c>
    </row>
    <row r="16" spans="1:7" ht="36" x14ac:dyDescent="0.25">
      <c r="A16" s="50" t="s">
        <v>146</v>
      </c>
      <c r="B16" s="51" t="s">
        <v>147</v>
      </c>
      <c r="C16" s="52" t="s">
        <v>148</v>
      </c>
      <c r="D16" s="53" t="s">
        <v>35</v>
      </c>
      <c r="E16" s="54">
        <v>46153</v>
      </c>
      <c r="F16" s="54">
        <v>46162</v>
      </c>
      <c r="G16" s="55" t="s">
        <v>145</v>
      </c>
    </row>
    <row r="17" spans="1:7" ht="36" x14ac:dyDescent="0.25">
      <c r="A17" s="50" t="s">
        <v>149</v>
      </c>
      <c r="B17" s="51" t="s">
        <v>150</v>
      </c>
      <c r="C17" s="52" t="s">
        <v>151</v>
      </c>
      <c r="D17" s="53" t="s">
        <v>152</v>
      </c>
      <c r="E17" s="54">
        <v>46163</v>
      </c>
      <c r="F17" s="54">
        <v>46173</v>
      </c>
      <c r="G17" s="55" t="s">
        <v>145</v>
      </c>
    </row>
    <row r="18" spans="1:7" ht="36" x14ac:dyDescent="0.25">
      <c r="A18" s="50" t="s">
        <v>153</v>
      </c>
      <c r="B18" s="51" t="s">
        <v>154</v>
      </c>
      <c r="C18" s="52" t="s">
        <v>155</v>
      </c>
      <c r="D18" s="53" t="s">
        <v>144</v>
      </c>
      <c r="E18" s="54">
        <v>46174</v>
      </c>
      <c r="F18" s="54">
        <v>46183</v>
      </c>
      <c r="G18" s="55" t="s">
        <v>145</v>
      </c>
    </row>
    <row r="19" spans="1:7" ht="15.75" thickBot="1" x14ac:dyDescent="0.3">
      <c r="A19" s="34" t="s">
        <v>175</v>
      </c>
      <c r="B19" s="33"/>
      <c r="C19" s="33"/>
      <c r="D19" s="33"/>
      <c r="E19" s="33"/>
      <c r="F19" s="56">
        <v>46184</v>
      </c>
      <c r="G19" s="56">
        <v>46213</v>
      </c>
    </row>
    <row r="20" spans="1:7" ht="15.75" thickBot="1" x14ac:dyDescent="0.3">
      <c r="A20" s="31" t="s">
        <v>176</v>
      </c>
      <c r="B20" s="33"/>
      <c r="C20" s="33"/>
      <c r="D20" s="33"/>
      <c r="E20" s="33"/>
      <c r="F20" s="33"/>
      <c r="G20" s="33"/>
    </row>
    <row r="21" spans="1:7" x14ac:dyDescent="0.25">
      <c r="A21" s="35" t="s">
        <v>177</v>
      </c>
      <c r="B21" s="33"/>
      <c r="C21" s="33"/>
      <c r="D21" s="33"/>
      <c r="E21" s="33"/>
      <c r="F21" s="33"/>
      <c r="G21" s="33"/>
    </row>
    <row r="22" spans="1:7" ht="36" x14ac:dyDescent="0.25">
      <c r="A22" s="50" t="s">
        <v>156</v>
      </c>
      <c r="B22" s="51" t="s">
        <v>157</v>
      </c>
      <c r="C22" s="52" t="s">
        <v>158</v>
      </c>
      <c r="D22" s="53" t="s">
        <v>152</v>
      </c>
      <c r="E22" s="54">
        <v>46216</v>
      </c>
      <c r="F22" s="54">
        <v>46234</v>
      </c>
      <c r="G22" s="55" t="s">
        <v>145</v>
      </c>
    </row>
    <row r="23" spans="1:7" ht="36.75" thickBot="1" x14ac:dyDescent="0.3">
      <c r="A23" s="50" t="s">
        <v>159</v>
      </c>
      <c r="B23" s="51" t="s">
        <v>160</v>
      </c>
      <c r="C23" s="52" t="s">
        <v>161</v>
      </c>
      <c r="D23" s="53" t="s">
        <v>152</v>
      </c>
      <c r="E23" s="54">
        <v>46237</v>
      </c>
      <c r="F23" s="54">
        <v>46265</v>
      </c>
      <c r="G23" s="55" t="s">
        <v>145</v>
      </c>
    </row>
    <row r="24" spans="1:7" ht="15.75" thickBot="1" x14ac:dyDescent="0.3">
      <c r="A24" s="31" t="s">
        <v>178</v>
      </c>
      <c r="B24" s="33"/>
      <c r="C24" s="33"/>
      <c r="D24" s="33"/>
      <c r="E24" s="33"/>
      <c r="F24" s="33"/>
      <c r="G24" s="33"/>
    </row>
    <row r="25" spans="1:7" ht="48" x14ac:dyDescent="0.25">
      <c r="A25" s="50" t="s">
        <v>162</v>
      </c>
      <c r="B25" s="51" t="s">
        <v>163</v>
      </c>
      <c r="C25" s="52" t="s">
        <v>161</v>
      </c>
      <c r="D25" s="53" t="s">
        <v>152</v>
      </c>
      <c r="E25" s="54">
        <v>46266</v>
      </c>
      <c r="F25" s="54">
        <v>46310</v>
      </c>
      <c r="G25" s="55" t="s">
        <v>145</v>
      </c>
    </row>
    <row r="26" spans="1:7" ht="36.75" thickBot="1" x14ac:dyDescent="0.3">
      <c r="A26" s="50" t="s">
        <v>164</v>
      </c>
      <c r="B26" s="51" t="s">
        <v>165</v>
      </c>
      <c r="C26" s="52" t="s">
        <v>161</v>
      </c>
      <c r="D26" s="53" t="s">
        <v>152</v>
      </c>
      <c r="E26" s="54">
        <v>46311</v>
      </c>
      <c r="F26" s="54">
        <v>46341</v>
      </c>
      <c r="G26" s="55" t="s">
        <v>145</v>
      </c>
    </row>
    <row r="27" spans="1:7" ht="15.75" thickBot="1" x14ac:dyDescent="0.3">
      <c r="A27" s="31" t="s">
        <v>179</v>
      </c>
      <c r="B27" s="33"/>
      <c r="C27" s="33"/>
      <c r="D27" s="33"/>
      <c r="E27" s="33"/>
      <c r="F27" s="33"/>
      <c r="G27" s="33"/>
    </row>
    <row r="28" spans="1:7" x14ac:dyDescent="0.25">
      <c r="A28" s="35" t="s">
        <v>180</v>
      </c>
      <c r="B28" s="33"/>
      <c r="C28" s="33"/>
      <c r="D28" s="33"/>
      <c r="E28" s="33"/>
      <c r="F28" s="33"/>
      <c r="G28" s="33"/>
    </row>
    <row r="29" spans="1:7" ht="36" x14ac:dyDescent="0.25">
      <c r="A29" s="50" t="s">
        <v>166</v>
      </c>
      <c r="B29" s="51" t="s">
        <v>167</v>
      </c>
      <c r="C29" s="52" t="s">
        <v>168</v>
      </c>
      <c r="D29" s="53" t="s">
        <v>16</v>
      </c>
      <c r="E29" s="54">
        <v>46342</v>
      </c>
      <c r="F29" s="54">
        <v>46356</v>
      </c>
      <c r="G29" s="55" t="s">
        <v>145</v>
      </c>
    </row>
    <row r="30" spans="1:7" ht="36" x14ac:dyDescent="0.25">
      <c r="A30" s="50" t="s">
        <v>181</v>
      </c>
      <c r="B30" s="51" t="s">
        <v>182</v>
      </c>
      <c r="C30" s="52" t="s">
        <v>183</v>
      </c>
      <c r="D30" s="53" t="s">
        <v>16</v>
      </c>
      <c r="E30" s="54">
        <v>46357</v>
      </c>
      <c r="F30" s="54">
        <v>46366</v>
      </c>
      <c r="G30" s="55" t="s">
        <v>145</v>
      </c>
    </row>
    <row r="31" spans="1:7" ht="15.75" thickBot="1" x14ac:dyDescent="0.3">
      <c r="A31" s="34" t="s">
        <v>184</v>
      </c>
      <c r="B31" s="33"/>
      <c r="C31" s="33"/>
      <c r="D31" s="33"/>
      <c r="E31" s="33"/>
      <c r="F31" s="56">
        <v>46367</v>
      </c>
      <c r="G31" s="56">
        <v>46397</v>
      </c>
    </row>
    <row r="32" spans="1:7" ht="15.75" thickBot="1" x14ac:dyDescent="0.3">
      <c r="A32" s="31" t="s">
        <v>185</v>
      </c>
      <c r="B32" s="33"/>
      <c r="C32" s="33"/>
      <c r="D32" s="33"/>
      <c r="E32" s="33"/>
      <c r="F32" s="33"/>
      <c r="G32" s="33"/>
    </row>
    <row r="33" spans="1:7" x14ac:dyDescent="0.25">
      <c r="A33" s="35" t="s">
        <v>186</v>
      </c>
      <c r="B33" s="33"/>
      <c r="C33" s="33"/>
      <c r="D33" s="33"/>
      <c r="E33" s="33"/>
      <c r="F33" s="33"/>
      <c r="G33" s="33"/>
    </row>
    <row r="34" spans="1:7" ht="36" x14ac:dyDescent="0.25">
      <c r="A34" s="50" t="s">
        <v>187</v>
      </c>
      <c r="B34" s="51" t="s">
        <v>188</v>
      </c>
      <c r="C34" s="52" t="s">
        <v>189</v>
      </c>
      <c r="D34" s="53" t="s">
        <v>152</v>
      </c>
      <c r="E34" s="54">
        <v>46400</v>
      </c>
      <c r="F34" s="54">
        <v>46412</v>
      </c>
      <c r="G34" s="55" t="s">
        <v>145</v>
      </c>
    </row>
    <row r="35" spans="1:7" ht="36" x14ac:dyDescent="0.25">
      <c r="A35" s="50" t="s">
        <v>190</v>
      </c>
      <c r="B35" s="51" t="s">
        <v>191</v>
      </c>
      <c r="C35" s="52" t="s">
        <v>192</v>
      </c>
      <c r="D35" s="53" t="s">
        <v>12</v>
      </c>
      <c r="E35" s="54">
        <v>46413</v>
      </c>
      <c r="F35" s="54">
        <v>46425</v>
      </c>
      <c r="G35" s="55" t="s">
        <v>145</v>
      </c>
    </row>
    <row r="36" spans="1:7" ht="48" x14ac:dyDescent="0.25">
      <c r="A36" s="50" t="s">
        <v>193</v>
      </c>
      <c r="B36" s="51" t="s">
        <v>194</v>
      </c>
      <c r="C36" s="52" t="s">
        <v>195</v>
      </c>
      <c r="D36" s="53" t="s">
        <v>144</v>
      </c>
      <c r="E36" s="54">
        <v>46426</v>
      </c>
      <c r="F36" s="54">
        <v>46438</v>
      </c>
      <c r="G36" s="55" t="s">
        <v>145</v>
      </c>
    </row>
    <row r="37" spans="1:7" ht="36" x14ac:dyDescent="0.25">
      <c r="A37" s="50" t="s">
        <v>196</v>
      </c>
      <c r="B37" s="51" t="s">
        <v>197</v>
      </c>
      <c r="C37" s="52" t="s">
        <v>198</v>
      </c>
      <c r="D37" s="53" t="s">
        <v>12</v>
      </c>
      <c r="E37" s="54">
        <v>46439</v>
      </c>
      <c r="F37" s="54">
        <v>46446</v>
      </c>
      <c r="G37" s="55" t="s">
        <v>145</v>
      </c>
    </row>
    <row r="38" spans="1:7" x14ac:dyDescent="0.25">
      <c r="A38" s="32"/>
      <c r="B38" s="32"/>
      <c r="C38" s="32"/>
      <c r="D38" s="32"/>
      <c r="E38" s="32"/>
      <c r="F38" s="32"/>
      <c r="G38" s="32"/>
    </row>
    <row r="39" spans="1:7" x14ac:dyDescent="0.25">
      <c r="A39" s="40" t="s">
        <v>199</v>
      </c>
      <c r="B39" s="33"/>
      <c r="C39" s="33"/>
      <c r="D39" s="33"/>
      <c r="E39" s="33"/>
      <c r="F39" s="33"/>
      <c r="G39" s="33"/>
    </row>
    <row r="40" spans="1:7" x14ac:dyDescent="0.25">
      <c r="A40" s="39" t="s">
        <v>200</v>
      </c>
      <c r="B40" s="33"/>
      <c r="C40" s="33"/>
      <c r="D40" s="33"/>
      <c r="E40" s="33"/>
      <c r="F40" s="33"/>
      <c r="G40" s="33"/>
    </row>
    <row r="41" spans="1:7" x14ac:dyDescent="0.25">
      <c r="A41" s="37" t="s">
        <v>201</v>
      </c>
      <c r="B41" s="33"/>
      <c r="C41" s="33"/>
      <c r="D41" s="33"/>
      <c r="E41" s="33"/>
      <c r="F41" s="33"/>
      <c r="G41" s="33"/>
    </row>
    <row r="42" spans="1:7" x14ac:dyDescent="0.25">
      <c r="A42" s="36" t="s">
        <v>202</v>
      </c>
      <c r="B42" s="33"/>
      <c r="C42" s="33"/>
      <c r="D42" s="33"/>
      <c r="E42" s="33"/>
      <c r="F42" s="33"/>
      <c r="G42" s="33"/>
    </row>
    <row r="43" spans="1:7" x14ac:dyDescent="0.25">
      <c r="A43" s="38" t="s">
        <v>203</v>
      </c>
      <c r="B43" s="33"/>
      <c r="C43" s="33"/>
      <c r="D43" s="33"/>
      <c r="E43" s="33"/>
      <c r="F43" s="33"/>
      <c r="G43" s="33"/>
    </row>
  </sheetData>
  <mergeCells count="20">
    <mergeCell ref="A2:G2"/>
    <mergeCell ref="A31:E31"/>
    <mergeCell ref="A33:G33"/>
    <mergeCell ref="A42:G42"/>
    <mergeCell ref="A7:G7"/>
    <mergeCell ref="A41:G41"/>
    <mergeCell ref="A27:G27"/>
    <mergeCell ref="A3:G3"/>
    <mergeCell ref="A21:G21"/>
    <mergeCell ref="A19:E19"/>
    <mergeCell ref="A32:G32"/>
    <mergeCell ref="A14:G14"/>
    <mergeCell ref="A8:G8"/>
    <mergeCell ref="A20:G20"/>
    <mergeCell ref="A28:G28"/>
    <mergeCell ref="A13:G13"/>
    <mergeCell ref="A43:G43"/>
    <mergeCell ref="A40:G40"/>
    <mergeCell ref="A39:G39"/>
    <mergeCell ref="A24:G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80AC9-67E9-4E3B-96CB-FF02AC03FA50}">
  <dimension ref="B1:F12"/>
  <sheetViews>
    <sheetView workbookViewId="0">
      <selection activeCell="C11" sqref="C11"/>
    </sheetView>
  </sheetViews>
  <sheetFormatPr baseColWidth="10" defaultRowHeight="15" x14ac:dyDescent="0.25"/>
  <cols>
    <col min="2" max="2" width="19.28515625" customWidth="1"/>
    <col min="3" max="3" width="38.140625" customWidth="1"/>
    <col min="4" max="4" width="50.28515625" customWidth="1"/>
    <col min="5" max="5" width="52.85546875" customWidth="1"/>
    <col min="6" max="6" width="57.7109375" customWidth="1"/>
  </cols>
  <sheetData>
    <row r="1" spans="2:6" ht="15.75" thickBot="1" x14ac:dyDescent="0.3">
      <c r="B1" s="26" t="s">
        <v>1</v>
      </c>
      <c r="C1" s="26" t="s">
        <v>116</v>
      </c>
      <c r="D1" s="26" t="s">
        <v>117</v>
      </c>
      <c r="E1" s="26" t="s">
        <v>118</v>
      </c>
      <c r="F1" s="26" t="s">
        <v>119</v>
      </c>
    </row>
    <row r="2" spans="2:6" ht="15.75" thickBot="1" x14ac:dyDescent="0.3">
      <c r="B2" s="27">
        <v>1</v>
      </c>
      <c r="C2" s="27" t="s">
        <v>120</v>
      </c>
      <c r="D2" s="27" t="s">
        <v>121</v>
      </c>
      <c r="E2" s="29">
        <v>15000</v>
      </c>
      <c r="F2" s="29">
        <v>270000</v>
      </c>
    </row>
    <row r="3" spans="2:6" ht="15.75" thickBot="1" x14ac:dyDescent="0.3">
      <c r="B3" s="27">
        <v>2</v>
      </c>
      <c r="C3" s="27" t="s">
        <v>122</v>
      </c>
      <c r="D3" s="27" t="s">
        <v>121</v>
      </c>
      <c r="E3" s="29">
        <v>100000</v>
      </c>
      <c r="F3" s="29">
        <v>1800000</v>
      </c>
    </row>
    <row r="4" spans="2:6" ht="15.75" thickBot="1" x14ac:dyDescent="0.3">
      <c r="B4" s="27">
        <v>3</v>
      </c>
      <c r="C4" s="27" t="s">
        <v>123</v>
      </c>
      <c r="D4" s="27" t="s">
        <v>121</v>
      </c>
      <c r="E4" s="29">
        <v>80000</v>
      </c>
      <c r="F4" s="29">
        <v>1440000</v>
      </c>
    </row>
    <row r="5" spans="2:6" ht="15.75" thickBot="1" x14ac:dyDescent="0.3">
      <c r="B5" s="27">
        <v>4</v>
      </c>
      <c r="C5" s="27" t="s">
        <v>124</v>
      </c>
      <c r="D5" s="27" t="s">
        <v>125</v>
      </c>
      <c r="E5" s="29">
        <v>80000</v>
      </c>
      <c r="F5" s="29">
        <v>160000</v>
      </c>
    </row>
    <row r="6" spans="2:6" ht="15.75" thickBot="1" x14ac:dyDescent="0.3">
      <c r="B6" s="27">
        <v>5</v>
      </c>
      <c r="C6" s="27" t="s">
        <v>126</v>
      </c>
      <c r="D6" s="27" t="s">
        <v>121</v>
      </c>
      <c r="E6" s="29">
        <v>120000</v>
      </c>
      <c r="F6" s="29">
        <v>2160000</v>
      </c>
    </row>
    <row r="7" spans="2:6" ht="15.75" thickBot="1" x14ac:dyDescent="0.3">
      <c r="B7" s="27">
        <v>6</v>
      </c>
      <c r="C7" s="27" t="s">
        <v>127</v>
      </c>
      <c r="D7" s="27" t="s">
        <v>125</v>
      </c>
      <c r="E7" s="29">
        <v>150000</v>
      </c>
      <c r="F7" s="29">
        <v>300000</v>
      </c>
    </row>
    <row r="8" spans="2:6" ht="15.75" thickBot="1" x14ac:dyDescent="0.3">
      <c r="B8" s="27">
        <v>7</v>
      </c>
      <c r="C8" s="27" t="s">
        <v>128</v>
      </c>
      <c r="D8" s="27">
        <v>1</v>
      </c>
      <c r="E8" s="29">
        <v>1500000</v>
      </c>
      <c r="F8" s="29">
        <v>1500000</v>
      </c>
    </row>
    <row r="9" spans="2:6" ht="15.75" thickBot="1" x14ac:dyDescent="0.3">
      <c r="B9" s="27">
        <v>8</v>
      </c>
      <c r="C9" s="27" t="s">
        <v>129</v>
      </c>
      <c r="D9" s="27" t="s">
        <v>121</v>
      </c>
      <c r="E9" s="29">
        <v>100000</v>
      </c>
      <c r="F9" s="29">
        <v>1800000</v>
      </c>
    </row>
    <row r="10" spans="2:6" ht="15.75" thickBot="1" x14ac:dyDescent="0.3">
      <c r="B10" s="27">
        <v>9</v>
      </c>
      <c r="C10" s="27" t="s">
        <v>130</v>
      </c>
      <c r="D10" s="27">
        <v>1</v>
      </c>
      <c r="E10" s="29">
        <v>5000000</v>
      </c>
      <c r="F10" s="29">
        <v>5000000</v>
      </c>
    </row>
    <row r="11" spans="2:6" ht="15.75" thickBot="1" x14ac:dyDescent="0.3">
      <c r="B11" s="27">
        <v>10</v>
      </c>
      <c r="C11" s="27" t="s">
        <v>131</v>
      </c>
      <c r="D11" s="27">
        <v>1</v>
      </c>
      <c r="E11" s="29">
        <v>800000</v>
      </c>
      <c r="F11" s="29">
        <v>800000</v>
      </c>
    </row>
    <row r="12" spans="2:6" x14ac:dyDescent="0.25">
      <c r="B12" s="28"/>
      <c r="C12" s="28"/>
      <c r="D12" s="28"/>
      <c r="E12" s="28" t="s">
        <v>132</v>
      </c>
      <c r="F12" s="30">
        <v>15230000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AAD8-A29F-4305-8F8F-14B8F924A259}">
  <dimension ref="A1:J10"/>
  <sheetViews>
    <sheetView zoomScale="140" zoomScaleNormal="140" workbookViewId="0">
      <selection activeCell="C1" sqref="C1:G1"/>
    </sheetView>
  </sheetViews>
  <sheetFormatPr baseColWidth="10" defaultRowHeight="15" x14ac:dyDescent="0.25"/>
  <cols>
    <col min="3" max="3" width="14.5703125" bestFit="1" customWidth="1"/>
    <col min="4" max="4" width="15.28515625" bestFit="1" customWidth="1"/>
    <col min="6" max="6" width="12.5703125" bestFit="1" customWidth="1"/>
  </cols>
  <sheetData>
    <row r="1" spans="1:10" x14ac:dyDescent="0.25">
      <c r="A1" s="10"/>
      <c r="C1" s="25"/>
      <c r="D1" s="25"/>
      <c r="E1" s="25"/>
      <c r="F1" s="25"/>
      <c r="G1" s="25"/>
    </row>
    <row r="2" spans="1:10" x14ac:dyDescent="0.25">
      <c r="A2" s="10"/>
      <c r="C2" s="3"/>
      <c r="D2" s="3"/>
      <c r="E2" s="3"/>
      <c r="F2" s="3"/>
      <c r="G2" s="3"/>
      <c r="H2" s="3"/>
      <c r="I2" s="3"/>
      <c r="J2" s="3"/>
    </row>
    <row r="3" spans="1:10" x14ac:dyDescent="0.25">
      <c r="C3" s="3"/>
      <c r="D3" s="12"/>
      <c r="E3" s="3"/>
      <c r="F3" s="3"/>
      <c r="G3" s="3"/>
      <c r="H3" s="3"/>
      <c r="I3" s="3"/>
      <c r="J3" s="3"/>
    </row>
    <row r="6" spans="1:10" x14ac:dyDescent="0.25">
      <c r="D6" s="12"/>
    </row>
    <row r="7" spans="1:10" x14ac:dyDescent="0.25">
      <c r="D7" s="13"/>
    </row>
    <row r="8" spans="1:10" x14ac:dyDescent="0.25">
      <c r="D8" s="13"/>
      <c r="F8" s="13"/>
    </row>
    <row r="10" spans="1:10" x14ac:dyDescent="0.25">
      <c r="A10" s="10"/>
    </row>
  </sheetData>
  <mergeCells count="1">
    <mergeCell ref="C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RECURSOS HUM</vt:lpstr>
      <vt:lpstr>ESTIMADO TOTAL PROYECTO</vt:lpstr>
      <vt:lpstr>RECURSOS TECNOLÓGICOS</vt:lpstr>
      <vt:lpstr>PLANEACION</vt:lpstr>
      <vt:lpstr>GASTOS.1</vt:lpstr>
      <vt:lpstr>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NORENA CEBALLOS</dc:creator>
  <cp:lastModifiedBy>Aprendiz</cp:lastModifiedBy>
  <dcterms:created xsi:type="dcterms:W3CDTF">2026-05-13T23:33:09Z</dcterms:created>
  <dcterms:modified xsi:type="dcterms:W3CDTF">2026-06-13T00:34:05Z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2026-05-14T23:46:53Z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7caf2086-a3e8-4e65-93ff-f2aa88dc2deb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