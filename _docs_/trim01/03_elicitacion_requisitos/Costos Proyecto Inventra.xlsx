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C88E33B8-5DEF-4919-AFDA-7D55D73A0D2C}" xr6:coauthVersionLast="47" xr6:coauthVersionMax="47" xr10:uidLastSave="{00000000-0000-0000-0000-000000000000}"/>
  <bookViews>
    <workbookView xWindow="-120" yWindow="-120" windowWidth="29040" windowHeight="15840" activeTab="2" xr2:uid="{587D31C4-582B-49F1-AD36-729E1557FE03}"/>
  </bookViews>
  <sheets>
    <sheet name="ESTIMADO TOTAL PROYECTO" sheetId="1" r:id="rId1"/>
    <sheet name="PLANEACIÓN" sheetId="3" r:id="rId2"/>
    <sheet name="RECURSOS HU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H4" i="2" s="1"/>
  <c r="F5" i="2"/>
  <c r="H5" i="2" s="1"/>
  <c r="J4" i="2" l="1"/>
  <c r="J5" i="2"/>
</calcChain>
</file>

<file path=xl/sharedStrings.xml><?xml version="1.0" encoding="utf-8"?>
<sst xmlns="http://schemas.openxmlformats.org/spreadsheetml/2006/main" count="66" uniqueCount="59">
  <si>
    <t>COSTO TOTAL DEL PROYECTO</t>
  </si>
  <si>
    <t>VALOR</t>
  </si>
  <si>
    <t>RECURSOS PROFESIONALES</t>
  </si>
  <si>
    <t>RECURSOS TECNOLÓGICOS</t>
  </si>
  <si>
    <t>GASTOS ADMINISTRATIVOS</t>
  </si>
  <si>
    <t>IMPREVISTOS</t>
  </si>
  <si>
    <t>GANANCIA</t>
  </si>
  <si>
    <t>ESPECIFICACIÓN REQUISITOS</t>
  </si>
  <si>
    <t>ITEM</t>
  </si>
  <si>
    <t>ACTIVIDAD</t>
  </si>
  <si>
    <t>EVIDENCIA</t>
  </si>
  <si>
    <t>RESPONSABLE</t>
  </si>
  <si>
    <t>INICIO</t>
  </si>
  <si>
    <t>FIN</t>
  </si>
  <si>
    <t>%AVANCE</t>
  </si>
  <si>
    <t>1.1.</t>
  </si>
  <si>
    <t>Elaborar el Diagrama de Procesos</t>
  </si>
  <si>
    <t>Diagrama de Procesos</t>
  </si>
  <si>
    <t>PROFESIONAL</t>
  </si>
  <si>
    <t>Administrador Proyecto</t>
  </si>
  <si>
    <t>Analista</t>
  </si>
  <si>
    <t>Gestor de Bases de Datos</t>
  </si>
  <si>
    <t>Desarrollador Backend</t>
  </si>
  <si>
    <t>CANT</t>
  </si>
  <si>
    <t>Tester</t>
  </si>
  <si>
    <t>SALARIO MENSUAL</t>
  </si>
  <si>
    <t>V/HORA</t>
  </si>
  <si>
    <t>DIAS</t>
  </si>
  <si>
    <t>SALARIO REAL</t>
  </si>
  <si>
    <t>Analizar los datos recolectados para determinar las necesidades del cliente</t>
  </si>
  <si>
    <t>Documento de Análisis</t>
  </si>
  <si>
    <t>1.2.</t>
  </si>
  <si>
    <t>Elaborar el Informe de Requisitos del Sistema</t>
  </si>
  <si>
    <t>1.3.</t>
  </si>
  <si>
    <t>Documento IEEE-830</t>
  </si>
  <si>
    <t>ANÁLISIS DE LA ESPECIFICACIÓN DE REQUISITOS</t>
  </si>
  <si>
    <t>2.1.</t>
  </si>
  <si>
    <t>Diagramar los Casos de Uso</t>
  </si>
  <si>
    <t>Diagrama de Casos de Uso</t>
  </si>
  <si>
    <t>Generar las Plantillas de los Casos de Uso Extendido</t>
  </si>
  <si>
    <t>Casos de Uso Extendido</t>
  </si>
  <si>
    <t>2.2.</t>
  </si>
  <si>
    <t>2.3.</t>
  </si>
  <si>
    <t>Crear el informe de Análisis</t>
  </si>
  <si>
    <t>Informe de Análisis</t>
  </si>
  <si>
    <t>2.4.</t>
  </si>
  <si>
    <t>Elaborar el Modelo Entidad Relación</t>
  </si>
  <si>
    <t>MER</t>
  </si>
  <si>
    <t>GBD</t>
  </si>
  <si>
    <t>MES</t>
  </si>
  <si>
    <t>V/DIA</t>
  </si>
  <si>
    <t>HORAS/DIA</t>
  </si>
  <si>
    <t>NOTA</t>
  </si>
  <si>
    <t>La contratación de los profesionales se hará por Prestación de Servicios según el tiempo que se requiera en el proyecto</t>
  </si>
  <si>
    <t>PARCIAL</t>
  </si>
  <si>
    <t>TOTAL PROYECTO</t>
  </si>
  <si>
    <t>Arquitecto / Líder Full Stack</t>
  </si>
  <si>
    <t>Desarrollador Full Stack</t>
  </si>
  <si>
    <t>$1.250.000.00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</si>
</sst>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164" formatCode="_-[$$-240A]\ * #,##0.00_-;\-[$$-240A]\ * #,##0.00_-;_-[$$-240A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1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right" vertical="top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8" fontId="0" fillId="0" borderId="0" xfId="0" applyNumberFormat="1"/>
    <xf numFmtId="0" fontId="1" fillId="10" borderId="2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8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&quot;$&quot;\ #,##0.00;[Red]\-&quot;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\ #,##0.00;[Red]\-&quot;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\ #,##0.00;[Red]\-&quot;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$&quot;\ #,##0;[Red]\-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A23CA-03C5-4211-B95F-55EDAE94C2E6}" name="Tabla1" displayName="Tabla1" ref="A1:J9" totalsRowShown="0" headerRowDxfId="1" dataDxfId="0" headerRowBorderDxfId="13" tableBorderDxfId="12">
  <autoFilter ref="A1:J9" xr:uid="{CAFA23CA-03C5-4211-B95F-55EDAE94C2E6}"/>
  <tableColumns count="10">
    <tableColumn id="1" xr3:uid="{1AFCF52A-DBE5-458B-8620-7E36AD6CDBB4}" name="ITEM" dataDxfId="11"/>
    <tableColumn id="2" xr3:uid="{C789D4AF-393B-46A5-B30C-D92644B24E73}" name="PROFESIONAL" dataDxfId="10"/>
    <tableColumn id="3" xr3:uid="{5A536356-9251-4B84-A179-2257CF8AE483}" name="CANT" dataDxfId="9"/>
    <tableColumn id="4" xr3:uid="{15803359-C0C6-4DF3-A938-6B13058E7754}" name="SALARIO MENSUAL" dataDxfId="8"/>
    <tableColumn id="5" xr3:uid="{A870A720-0AD4-4DC9-B91D-75CAF870729D}" name="MES" dataDxfId="7"/>
    <tableColumn id="6" xr3:uid="{D3FBD5D1-4D25-464E-937A-1F28ED057E2F}" name="V/DIA" dataDxfId="6"/>
    <tableColumn id="7" xr3:uid="{1CC7DA18-B513-4CA5-8145-0F78E3C21383}" name="HORAS/DIA" dataDxfId="5"/>
    <tableColumn id="8" xr3:uid="{F3223941-6FFA-4D09-AC9B-31F4172BFD4B}" name="V/HORA" dataDxfId="4"/>
    <tableColumn id="9" xr3:uid="{E7B12ED9-E685-4F66-84F8-D7B90A46DEDD}" name="DIAS" dataDxfId="3"/>
    <tableColumn id="10" xr3:uid="{7501087D-710A-442A-9339-053732D6BEC2}" name="SALARIO RE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D8C5-9FE8-4FAD-AA77-674016723D5A}">
  <dimension ref="A1:W26"/>
  <sheetViews>
    <sheetView zoomScale="130" zoomScaleNormal="130" workbookViewId="0">
      <selection activeCell="F4" sqref="F4"/>
    </sheetView>
  </sheetViews>
  <sheetFormatPr baseColWidth="10" defaultRowHeight="15" x14ac:dyDescent="0.25"/>
  <cols>
    <col min="1" max="1" width="29.85546875" style="1" customWidth="1"/>
    <col min="2" max="2" width="13.42578125" style="1" customWidth="1"/>
    <col min="3" max="32" width="3.7109375" style="2" customWidth="1"/>
    <col min="33" max="16384" width="11.42578125" style="2"/>
  </cols>
  <sheetData>
    <row r="1" spans="1:23" s="4" customFormat="1" x14ac:dyDescent="0.25">
      <c r="B1" s="4" t="s">
        <v>1</v>
      </c>
    </row>
    <row r="2" spans="1:23" ht="20.100000000000001" customHeight="1" x14ac:dyDescent="0.25">
      <c r="A2" s="1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0.100000000000001" customHeight="1" x14ac:dyDescent="0.25">
      <c r="A3" s="1" t="s">
        <v>2</v>
      </c>
      <c r="D3" s="5"/>
      <c r="E3" s="5"/>
      <c r="F3" s="5"/>
      <c r="G3" s="5"/>
      <c r="H3" s="5"/>
      <c r="I3" s="5"/>
      <c r="J3" s="5"/>
      <c r="K3" s="5"/>
      <c r="L3" s="5"/>
    </row>
    <row r="4" spans="1:23" ht="20.100000000000001" customHeight="1" x14ac:dyDescent="0.25">
      <c r="A4" s="1" t="s">
        <v>3</v>
      </c>
      <c r="M4" s="6"/>
      <c r="N4" s="6"/>
      <c r="O4" s="6"/>
    </row>
    <row r="5" spans="1:23" ht="20.100000000000001" customHeight="1" x14ac:dyDescent="0.25">
      <c r="A5" s="1" t="s">
        <v>4</v>
      </c>
      <c r="P5" s="7"/>
      <c r="Q5" s="7"/>
      <c r="R5" s="7"/>
      <c r="S5" s="7"/>
    </row>
    <row r="6" spans="1:23" ht="20.100000000000001" customHeight="1" x14ac:dyDescent="0.25">
      <c r="A6" s="1" t="s">
        <v>5</v>
      </c>
      <c r="T6" s="8"/>
      <c r="U6" s="8"/>
    </row>
    <row r="7" spans="1:23" ht="20.100000000000001" customHeight="1" x14ac:dyDescent="0.25">
      <c r="A7" s="1" t="s">
        <v>6</v>
      </c>
      <c r="V7" s="9"/>
      <c r="W7" s="9"/>
    </row>
    <row r="8" spans="1:23" ht="20.100000000000001" customHeight="1" x14ac:dyDescent="0.25"/>
    <row r="9" spans="1:23" ht="20.100000000000001" customHeight="1" x14ac:dyDescent="0.25"/>
    <row r="10" spans="1:23" ht="20.100000000000001" customHeight="1" x14ac:dyDescent="0.25"/>
    <row r="11" spans="1:23" ht="20.100000000000001" customHeight="1" x14ac:dyDescent="0.25"/>
    <row r="12" spans="1:23" ht="20.100000000000001" customHeight="1" x14ac:dyDescent="0.25"/>
    <row r="13" spans="1:23" ht="20.100000000000001" customHeight="1" x14ac:dyDescent="0.25"/>
    <row r="14" spans="1:23" ht="20.100000000000001" customHeight="1" x14ac:dyDescent="0.25"/>
    <row r="15" spans="1:23" ht="20.100000000000001" customHeight="1" x14ac:dyDescent="0.25"/>
    <row r="16" spans="1:23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EB47-3A10-4B2E-BD08-6D6EC37549DE}">
  <dimension ref="A1:G10"/>
  <sheetViews>
    <sheetView zoomScale="140" zoomScaleNormal="140" workbookViewId="0">
      <pane ySplit="1" topLeftCell="A2" activePane="bottomLeft" state="frozen"/>
      <selection pane="bottomLeft" activeCell="C10" sqref="C10"/>
    </sheetView>
  </sheetViews>
  <sheetFormatPr baseColWidth="10" defaultRowHeight="15" x14ac:dyDescent="0.25"/>
  <cols>
    <col min="1" max="1" width="4.85546875" style="13" bestFit="1" customWidth="1"/>
    <col min="2" max="2" width="50.5703125" style="2" customWidth="1"/>
    <col min="3" max="3" width="24.85546875" style="4" bestFit="1" customWidth="1"/>
    <col min="4" max="4" width="14.140625" style="4" bestFit="1" customWidth="1"/>
    <col min="5" max="5" width="10.28515625" style="2" bestFit="1" customWidth="1"/>
    <col min="6" max="6" width="10.7109375" style="2" customWidth="1"/>
    <col min="7" max="7" width="9.85546875" style="2" bestFit="1" customWidth="1"/>
    <col min="8" max="16384" width="11.42578125" style="2"/>
  </cols>
  <sheetData>
    <row r="1" spans="1:7" s="10" customFormat="1" x14ac:dyDescent="0.25">
      <c r="A1" s="17" t="s">
        <v>8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</row>
    <row r="2" spans="1:7" x14ac:dyDescent="0.25">
      <c r="A2" s="19">
        <v>1</v>
      </c>
      <c r="B2" s="20" t="s">
        <v>7</v>
      </c>
      <c r="C2" s="21"/>
      <c r="D2" s="21"/>
      <c r="E2" s="20"/>
      <c r="F2" s="20"/>
      <c r="G2" s="20"/>
    </row>
    <row r="3" spans="1:7" ht="30" x14ac:dyDescent="0.25">
      <c r="A3" s="14" t="s">
        <v>15</v>
      </c>
      <c r="B3" s="15" t="s">
        <v>29</v>
      </c>
      <c r="C3" s="11" t="s">
        <v>30</v>
      </c>
      <c r="D3" s="11" t="s">
        <v>20</v>
      </c>
      <c r="E3" s="16">
        <v>46059</v>
      </c>
      <c r="F3" s="16">
        <v>46087</v>
      </c>
      <c r="G3" s="12"/>
    </row>
    <row r="4" spans="1:7" x14ac:dyDescent="0.25">
      <c r="A4" s="14" t="s">
        <v>31</v>
      </c>
      <c r="B4" s="12" t="s">
        <v>16</v>
      </c>
      <c r="C4" s="11" t="s">
        <v>17</v>
      </c>
      <c r="D4" s="11" t="s">
        <v>20</v>
      </c>
      <c r="E4" s="16">
        <v>46088</v>
      </c>
      <c r="F4" s="16">
        <v>46097</v>
      </c>
      <c r="G4" s="12"/>
    </row>
    <row r="5" spans="1:7" x14ac:dyDescent="0.25">
      <c r="A5" s="14" t="s">
        <v>33</v>
      </c>
      <c r="B5" s="12" t="s">
        <v>32</v>
      </c>
      <c r="C5" s="11" t="s">
        <v>34</v>
      </c>
      <c r="D5" s="11" t="s">
        <v>20</v>
      </c>
      <c r="E5" s="16">
        <v>46098</v>
      </c>
      <c r="F5" s="16">
        <v>46108</v>
      </c>
      <c r="G5" s="12"/>
    </row>
    <row r="6" spans="1:7" x14ac:dyDescent="0.25">
      <c r="A6" s="19">
        <v>2</v>
      </c>
      <c r="B6" s="20" t="s">
        <v>35</v>
      </c>
      <c r="C6" s="21"/>
      <c r="D6" s="21"/>
      <c r="E6" s="20"/>
      <c r="F6" s="20"/>
      <c r="G6" s="20"/>
    </row>
    <row r="7" spans="1:7" x14ac:dyDescent="0.25">
      <c r="A7" s="14" t="s">
        <v>36</v>
      </c>
      <c r="B7" s="12" t="s">
        <v>37</v>
      </c>
      <c r="C7" s="11" t="s">
        <v>38</v>
      </c>
      <c r="D7" s="11" t="s">
        <v>20</v>
      </c>
      <c r="E7" s="16">
        <v>46109</v>
      </c>
      <c r="F7" s="16">
        <v>46117</v>
      </c>
      <c r="G7" s="12"/>
    </row>
    <row r="8" spans="1:7" x14ac:dyDescent="0.25">
      <c r="A8" s="14" t="s">
        <v>41</v>
      </c>
      <c r="B8" s="12" t="s">
        <v>39</v>
      </c>
      <c r="C8" s="11" t="s">
        <v>40</v>
      </c>
      <c r="D8" s="11" t="s">
        <v>20</v>
      </c>
      <c r="E8" s="16">
        <v>46118</v>
      </c>
      <c r="F8" s="16">
        <v>46128</v>
      </c>
      <c r="G8" s="12"/>
    </row>
    <row r="9" spans="1:7" x14ac:dyDescent="0.25">
      <c r="A9" s="14" t="s">
        <v>42</v>
      </c>
      <c r="B9" s="12" t="s">
        <v>43</v>
      </c>
      <c r="C9" s="11" t="s">
        <v>44</v>
      </c>
      <c r="D9" s="11" t="s">
        <v>20</v>
      </c>
      <c r="E9" s="16">
        <v>46129</v>
      </c>
      <c r="F9" s="16">
        <v>46130</v>
      </c>
      <c r="G9" s="12"/>
    </row>
    <row r="10" spans="1:7" x14ac:dyDescent="0.25">
      <c r="A10" s="14" t="s">
        <v>45</v>
      </c>
      <c r="B10" s="12" t="s">
        <v>46</v>
      </c>
      <c r="C10" s="11" t="s">
        <v>47</v>
      </c>
      <c r="D10" s="11" t="s">
        <v>48</v>
      </c>
      <c r="E10" s="16">
        <v>46131</v>
      </c>
      <c r="F10" s="16">
        <v>46142</v>
      </c>
      <c r="G1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227D-E2E4-4699-92B9-B833E0FBE1CC}">
  <dimension ref="A1:J10"/>
  <sheetViews>
    <sheetView tabSelected="1" zoomScale="130" zoomScaleNormal="130" workbookViewId="0">
      <selection activeCell="H10" sqref="H10"/>
    </sheetView>
  </sheetViews>
  <sheetFormatPr baseColWidth="10" defaultRowHeight="15" x14ac:dyDescent="0.25"/>
  <cols>
    <col min="1" max="1" width="6.5703125" style="2" customWidth="1"/>
    <col min="2" max="2" width="23.42578125" style="2" bestFit="1" customWidth="1"/>
    <col min="3" max="3" width="11.140625" style="4" customWidth="1"/>
    <col min="4" max="4" width="23.42578125" style="2" customWidth="1"/>
    <col min="5" max="5" width="9.28515625" style="4" customWidth="1"/>
    <col min="6" max="6" width="13.7109375" style="2" bestFit="1" customWidth="1"/>
    <col min="7" max="7" width="12.5703125" style="4" customWidth="1"/>
    <col min="8" max="8" width="12.5703125" style="2" bestFit="1" customWidth="1"/>
    <col min="9" max="9" width="14.140625" style="4" customWidth="1"/>
    <col min="10" max="10" width="16.5703125" style="2" bestFit="1" customWidth="1"/>
    <col min="11" max="16384" width="11.42578125" style="2"/>
  </cols>
  <sheetData>
    <row r="1" spans="1:10" s="4" customFormat="1" x14ac:dyDescent="0.25">
      <c r="A1" s="23" t="s">
        <v>8</v>
      </c>
      <c r="B1" s="23" t="s">
        <v>18</v>
      </c>
      <c r="C1" s="23" t="s">
        <v>23</v>
      </c>
      <c r="D1" s="23" t="s">
        <v>25</v>
      </c>
      <c r="E1" s="23" t="s">
        <v>49</v>
      </c>
      <c r="F1" s="23" t="s">
        <v>50</v>
      </c>
      <c r="G1" s="23" t="s">
        <v>51</v>
      </c>
      <c r="H1" s="23" t="s">
        <v>26</v>
      </c>
      <c r="I1" s="23" t="s">
        <v>27</v>
      </c>
      <c r="J1" s="23" t="s">
        <v>28</v>
      </c>
    </row>
    <row r="2" spans="1:10" x14ac:dyDescent="0.25">
      <c r="A2" s="11">
        <v>1</v>
      </c>
      <c r="B2" s="4" t="s">
        <v>56</v>
      </c>
      <c r="C2" s="11">
        <v>1</v>
      </c>
      <c r="D2" s="31">
        <v>5000000</v>
      </c>
      <c r="E2" s="11">
        <v>30</v>
      </c>
      <c r="F2" s="28">
        <v>166666.67000000001</v>
      </c>
      <c r="G2" s="11">
        <v>6</v>
      </c>
      <c r="H2" s="28">
        <v>27777.78</v>
      </c>
      <c r="I2" s="11">
        <v>20</v>
      </c>
      <c r="J2" s="28">
        <v>3333333.33</v>
      </c>
    </row>
    <row r="3" spans="1:10" x14ac:dyDescent="0.25">
      <c r="A3" s="11">
        <v>2</v>
      </c>
      <c r="B3" s="11" t="s">
        <v>19</v>
      </c>
      <c r="C3" s="11">
        <v>1</v>
      </c>
      <c r="D3" s="30">
        <v>3500000</v>
      </c>
      <c r="E3" s="11">
        <v>30</v>
      </c>
      <c r="F3" s="28">
        <v>116666.67</v>
      </c>
      <c r="G3" s="11">
        <v>6</v>
      </c>
      <c r="H3" s="28">
        <v>19444.439999999999</v>
      </c>
      <c r="I3" s="4">
        <v>15</v>
      </c>
      <c r="J3" s="28">
        <v>1750000</v>
      </c>
    </row>
    <row r="4" spans="1:10" x14ac:dyDescent="0.25">
      <c r="A4" s="11">
        <v>3</v>
      </c>
      <c r="B4" s="11" t="s">
        <v>20</v>
      </c>
      <c r="C4" s="11">
        <v>1</v>
      </c>
      <c r="D4" s="30">
        <v>2500000</v>
      </c>
      <c r="E4" s="11">
        <v>30</v>
      </c>
      <c r="F4" s="29">
        <f>D4/E4</f>
        <v>83333.333333333328</v>
      </c>
      <c r="G4" s="11">
        <v>6</v>
      </c>
      <c r="H4" s="29">
        <f>F4/G4</f>
        <v>13888.888888888889</v>
      </c>
      <c r="I4" s="4">
        <v>20</v>
      </c>
      <c r="J4" s="29">
        <f>F4*I4*C4</f>
        <v>1666666.6666666665</v>
      </c>
    </row>
    <row r="5" spans="1:10" x14ac:dyDescent="0.25">
      <c r="A5" s="11">
        <v>4</v>
      </c>
      <c r="B5" s="11" t="s">
        <v>21</v>
      </c>
      <c r="C5" s="11">
        <v>1</v>
      </c>
      <c r="D5" s="30">
        <v>2000000</v>
      </c>
      <c r="E5" s="11">
        <v>30</v>
      </c>
      <c r="F5" s="29">
        <f t="shared" ref="F5" si="0">D5/E5</f>
        <v>66666.666666666672</v>
      </c>
      <c r="G5" s="11">
        <v>5</v>
      </c>
      <c r="H5" s="29">
        <f t="shared" ref="H5" si="1">F5/G5</f>
        <v>13333.333333333334</v>
      </c>
      <c r="I5" s="11">
        <v>15</v>
      </c>
      <c r="J5" s="29">
        <f t="shared" ref="J5" si="2">F5*I5*C5</f>
        <v>1000000.0000000001</v>
      </c>
    </row>
    <row r="6" spans="1:10" x14ac:dyDescent="0.25">
      <c r="A6" s="11">
        <v>5</v>
      </c>
      <c r="B6" s="4" t="s">
        <v>57</v>
      </c>
      <c r="C6" s="4">
        <v>2</v>
      </c>
      <c r="D6" s="30">
        <v>3500000</v>
      </c>
      <c r="E6" s="11">
        <v>30</v>
      </c>
      <c r="F6" s="28">
        <v>116666.67</v>
      </c>
      <c r="G6" s="11">
        <v>8</v>
      </c>
      <c r="H6" s="28">
        <v>14583.33</v>
      </c>
      <c r="I6" s="11">
        <v>40</v>
      </c>
      <c r="J6" s="28">
        <v>9333333.3300000001</v>
      </c>
    </row>
    <row r="7" spans="1:10" x14ac:dyDescent="0.25">
      <c r="A7" s="11">
        <v>6</v>
      </c>
      <c r="B7" s="11" t="s">
        <v>22</v>
      </c>
      <c r="C7" s="11">
        <v>1</v>
      </c>
      <c r="D7" s="30">
        <v>3000000</v>
      </c>
      <c r="E7" s="4">
        <v>30</v>
      </c>
      <c r="F7" s="28">
        <v>100000</v>
      </c>
      <c r="G7" s="11">
        <v>8</v>
      </c>
      <c r="H7" s="28">
        <v>12500</v>
      </c>
      <c r="I7" s="11">
        <v>20</v>
      </c>
      <c r="J7" s="28">
        <v>2000000</v>
      </c>
    </row>
    <row r="8" spans="1:10" x14ac:dyDescent="0.25">
      <c r="A8" s="11">
        <v>7</v>
      </c>
      <c r="B8" s="11" t="s">
        <v>24</v>
      </c>
      <c r="C8" s="11">
        <v>1</v>
      </c>
      <c r="D8" s="30">
        <v>2500000</v>
      </c>
      <c r="E8" s="11">
        <v>30</v>
      </c>
      <c r="F8" s="32">
        <v>83333.33</v>
      </c>
      <c r="G8" s="11">
        <v>6</v>
      </c>
      <c r="H8" s="28">
        <v>13888.89</v>
      </c>
      <c r="I8" s="4">
        <v>15</v>
      </c>
      <c r="J8" s="30" t="s">
        <v>58</v>
      </c>
    </row>
    <row r="9" spans="1:10" x14ac:dyDescent="0.25">
      <c r="A9" s="4"/>
      <c r="B9" s="4"/>
      <c r="D9" s="4"/>
      <c r="F9" s="4"/>
      <c r="H9" s="4"/>
      <c r="I9" s="33" t="s">
        <v>54</v>
      </c>
      <c r="J9" s="22">
        <v>20333333.329999998</v>
      </c>
    </row>
    <row r="10" spans="1:10" x14ac:dyDescent="0.25">
      <c r="A10" s="25" t="s">
        <v>52</v>
      </c>
      <c r="B10" s="24" t="s">
        <v>53</v>
      </c>
      <c r="C10" s="26"/>
      <c r="D10" s="24"/>
      <c r="E10" s="26"/>
      <c r="F10" s="24"/>
      <c r="G10" s="26"/>
      <c r="H10" s="24"/>
      <c r="I10" s="27" t="s">
        <v>55</v>
      </c>
      <c r="J10" s="22">
        <v>365999999.94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ESTIMADO TOTAL PROYECTO</vt:lpstr>
      <vt:lpstr>PLANEACIÓN</vt:lpstr>
      <vt:lpstr>RECURSOS HUM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Aprendiz</cp:lastModifiedBy>
  <dcterms:created xsi:type="dcterms:W3CDTF">2026-05-13T23:33:09Z</dcterms:created>
  <dcterms:modified xsi:type="dcterms:W3CDTF">2026-05-20T23:46:11Z</dcterms:modified>
</cp:coreProperties>
</file>